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li\ELEMENTOS FINITOS\Elementos finitos_1\Porticos 2D\arcos  uniforme tismoshenko\"/>
    </mc:Choice>
  </mc:AlternateContent>
  <xr:revisionPtr revIDLastSave="0" documentId="8_{6E971EC7-A3C0-40FB-8B52-9009A2B5E541}" xr6:coauthVersionLast="47" xr6:coauthVersionMax="47" xr10:uidLastSave="{00000000-0000-0000-0000-000000000000}"/>
  <bookViews>
    <workbookView xWindow="0" yWindow="0" windowWidth="14400" windowHeight="15600" activeTab="1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A">Hoja1!$B$6</definedName>
    <definedName name="E">Hoja1!$B$7</definedName>
    <definedName name="G">Hoja1!$B$8</definedName>
    <definedName name="I">Hoja1!$B$5</definedName>
    <definedName name="ks">Hoja1!$B$9</definedName>
    <definedName name="L">Hoja1!$B$2</definedName>
    <definedName name="la">Hoja1!$B$3</definedName>
    <definedName name="lb">Hoja1!$B$4</definedName>
    <definedName name="w">Hoja1!$B$1</definedName>
    <definedName name="za">Hoja1!$B$11</definedName>
    <definedName name="zb">Hoja1!$B$12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3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" i="3"/>
  <c r="F3" i="3"/>
  <c r="H18" i="1"/>
  <c r="H17" i="1"/>
  <c r="H16" i="1"/>
  <c r="H15" i="1"/>
  <c r="F35" i="1"/>
  <c r="D27" i="1"/>
  <c r="D21" i="1"/>
  <c r="F16" i="1"/>
  <c r="G35" i="1"/>
  <c r="F15" i="1" l="1"/>
  <c r="B7" i="1"/>
  <c r="E4" i="1"/>
  <c r="E22" i="1"/>
  <c r="E7" i="1"/>
  <c r="B6" i="1" l="1"/>
  <c r="B5" i="1"/>
  <c r="L22" i="1" l="1"/>
  <c r="L30" i="1" s="1"/>
  <c r="O19" i="1"/>
  <c r="O27" i="1" s="1"/>
  <c r="L28" i="1"/>
  <c r="L29" i="1"/>
  <c r="L31" i="1"/>
  <c r="L32" i="1"/>
  <c r="L19" i="1" l="1"/>
  <c r="L27" i="1" s="1"/>
  <c r="S52" i="1"/>
  <c r="S59" i="1"/>
  <c r="R53" i="1" l="1"/>
  <c r="R52" i="1"/>
  <c r="R48" i="1"/>
  <c r="R49" i="1"/>
  <c r="R54" i="1"/>
  <c r="R56" i="1"/>
  <c r="R57" i="1"/>
  <c r="R59" i="1"/>
  <c r="R60" i="1"/>
  <c r="R61" i="1"/>
  <c r="R62" i="1"/>
  <c r="R64" i="1"/>
  <c r="R65" i="1"/>
  <c r="R66" i="1"/>
  <c r="R67" i="1"/>
  <c r="R69" i="1"/>
  <c r="R70" i="1"/>
  <c r="R71" i="1"/>
  <c r="R73" i="1"/>
  <c r="R74" i="1"/>
  <c r="R75" i="1"/>
  <c r="R76" i="1"/>
  <c r="R77" i="1"/>
  <c r="R79" i="1"/>
  <c r="R46" i="1"/>
  <c r="N4" i="1"/>
  <c r="P4" i="1"/>
  <c r="Q4" i="1"/>
  <c r="M4" i="1"/>
  <c r="O22" i="1" l="1"/>
  <c r="O2" i="1"/>
  <c r="O3" i="1"/>
  <c r="O4" i="1" l="1"/>
  <c r="O30" i="1"/>
  <c r="D28" i="2"/>
  <c r="B8" i="1"/>
  <c r="B9" i="1"/>
  <c r="H12" i="1" l="1"/>
  <c r="H8" i="1"/>
  <c r="H7" i="1"/>
  <c r="H4" i="1"/>
  <c r="H3" i="1"/>
  <c r="H11" i="1"/>
  <c r="F18" i="1" l="1"/>
  <c r="E12" i="1"/>
  <c r="E11" i="1"/>
  <c r="E8" i="1"/>
  <c r="E3" i="1"/>
  <c r="G16" i="1" l="1"/>
  <c r="G15" i="1"/>
  <c r="G36" i="1"/>
  <c r="F42" i="1"/>
  <c r="G42" i="1"/>
  <c r="G41" i="1"/>
  <c r="F36" i="1"/>
  <c r="E27" i="1"/>
  <c r="D28" i="1"/>
  <c r="E28" i="1"/>
  <c r="D22" i="1"/>
  <c r="E21" i="1"/>
  <c r="F41" i="1" l="1"/>
  <c r="I39" i="1" s="1" a="1"/>
  <c r="I42" i="1" s="1"/>
  <c r="I21" i="1" a="1"/>
  <c r="I21" i="1" s="1"/>
  <c r="M20" i="1" s="1"/>
  <c r="M28" i="1" s="1"/>
  <c r="I27" i="1" a="1"/>
  <c r="I29" i="1" s="1"/>
  <c r="N23" i="1" s="1"/>
  <c r="P32" i="1" s="1"/>
  <c r="Q31" i="1" s="1"/>
  <c r="I33" i="1" a="1"/>
  <c r="I34" i="1" s="1"/>
  <c r="P21" i="1" s="1"/>
  <c r="M2" i="1" l="1"/>
  <c r="P3" i="1"/>
  <c r="N5" i="1"/>
  <c r="Q24" i="1"/>
  <c r="N29" i="1" s="1"/>
  <c r="I15" i="1" a="1"/>
  <c r="I15" i="1" s="1"/>
  <c r="I30" i="1"/>
  <c r="I27" i="1"/>
  <c r="N20" i="1" s="1"/>
  <c r="I28" i="1"/>
  <c r="I41" i="1"/>
  <c r="Q23" i="1" s="1"/>
  <c r="N31" i="1" s="1"/>
  <c r="P29" i="1" s="1"/>
  <c r="I40" i="1"/>
  <c r="I39" i="1"/>
  <c r="Q20" i="1" s="1"/>
  <c r="I33" i="1"/>
  <c r="P20" i="1" s="1"/>
  <c r="I35" i="1"/>
  <c r="P23" i="1" s="1"/>
  <c r="P31" i="1" s="1"/>
  <c r="I36" i="1"/>
  <c r="P24" i="1" s="1"/>
  <c r="I23" i="1"/>
  <c r="M23" i="1" s="1"/>
  <c r="M31" i="1" s="1"/>
  <c r="P28" i="1" s="1"/>
  <c r="I22" i="1"/>
  <c r="I24" i="1"/>
  <c r="M24" i="1" s="1"/>
  <c r="M29" i="1" s="1"/>
  <c r="N28" i="1" s="1"/>
  <c r="P5" i="1" l="1"/>
  <c r="Q6" i="1"/>
  <c r="M6" i="1"/>
  <c r="Q5" i="1"/>
  <c r="P2" i="1"/>
  <c r="M5" i="1"/>
  <c r="Q2" i="1"/>
  <c r="N2" i="1"/>
  <c r="P6" i="1"/>
  <c r="M21" i="1"/>
  <c r="M32" i="1" s="1"/>
  <c r="Q28" i="1" s="1"/>
  <c r="Q21" i="1"/>
  <c r="N21" i="1"/>
  <c r="Q32" i="1" s="1"/>
  <c r="N24" i="1"/>
  <c r="I16" i="1"/>
  <c r="J16" i="1" s="1"/>
  <c r="I17" i="1"/>
  <c r="I18" i="1"/>
  <c r="N32" i="1" l="1"/>
  <c r="Q29" i="1" s="1"/>
  <c r="M3" i="1"/>
  <c r="Q3" i="1"/>
  <c r="N6" i="1"/>
  <c r="N3" i="1"/>
  <c r="O5" i="1" l="1"/>
  <c r="O6" i="1"/>
</calcChain>
</file>

<file path=xl/sharedStrings.xml><?xml version="1.0" encoding="utf-8"?>
<sst xmlns="http://schemas.openxmlformats.org/spreadsheetml/2006/main" count="98" uniqueCount="30">
  <si>
    <t>A</t>
  </si>
  <si>
    <t>L</t>
  </si>
  <si>
    <t>la</t>
  </si>
  <si>
    <t>lb</t>
  </si>
  <si>
    <t>Ax</t>
  </si>
  <si>
    <t>w</t>
  </si>
  <si>
    <t>parabola</t>
  </si>
  <si>
    <t>Triangulo</t>
  </si>
  <si>
    <t>rectangulo</t>
  </si>
  <si>
    <t>I</t>
  </si>
  <si>
    <t>E</t>
  </si>
  <si>
    <t>G</t>
  </si>
  <si>
    <t>ks</t>
  </si>
  <si>
    <t>Ra</t>
  </si>
  <si>
    <t>Rb</t>
  </si>
  <si>
    <t>Mb</t>
  </si>
  <si>
    <t>Ma</t>
  </si>
  <si>
    <t>ΣM</t>
  </si>
  <si>
    <t>Derecho</t>
  </si>
  <si>
    <r>
      <rPr>
        <b/>
        <sz val="11"/>
        <color theme="1"/>
        <rFont val="Georgia"/>
        <family val="1"/>
      </rPr>
      <t>Σ</t>
    </r>
    <r>
      <rPr>
        <b/>
        <sz val="11"/>
        <color theme="1"/>
        <rFont val="Calibri"/>
        <family val="2"/>
      </rPr>
      <t>F</t>
    </r>
  </si>
  <si>
    <t>izquierdo</t>
  </si>
  <si>
    <t>6EI/L2</t>
  </si>
  <si>
    <t>4EI/l</t>
  </si>
  <si>
    <t>2EI/L</t>
  </si>
  <si>
    <t>12EI/L3</t>
  </si>
  <si>
    <t>AE/L</t>
  </si>
  <si>
    <t>X</t>
  </si>
  <si>
    <t>Pu</t>
  </si>
  <si>
    <t>Vu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</si>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</sst>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00"/>
    <numFmt numFmtId="167" formatCode="0.0000"/>
    <numFmt numFmtId="168" formatCode="0.00000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1"/>
    </font>
    <font>
      <b/>
      <sz val="11"/>
      <color theme="1"/>
      <name val="Georgia"/>
      <family val="1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FF0000"/>
        <bgColor rgb="FFFFFFCC"/>
      </patternFill>
    </fill>
    <fill>
      <patternFill patternType="solid">
        <fgColor rgb="FF66FFFF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theme="7" tint="0.39997558519241921"/>
        <bgColor rgb="FFFFFFCC"/>
      </patternFill>
    </fill>
    <fill>
      <patternFill patternType="solid">
        <fgColor rgb="FF00B050"/>
        <bgColor rgb="FFFFFFCC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rgb="FFFFFFC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3" borderId="1" xfId="0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164" fontId="0" fillId="4" borderId="1" xfId="0" applyNumberFormat="1" applyFill="1" applyBorder="1"/>
    <xf numFmtId="11" fontId="0" fillId="0" borderId="0" xfId="0" applyNumberFormat="1"/>
    <xf numFmtId="167" fontId="0" fillId="0" borderId="0" xfId="0" applyNumberFormat="1"/>
    <xf numFmtId="11" fontId="0" fillId="0" borderId="0" xfId="0" applyNumberFormat="1" applyAlignment="1">
      <alignment wrapText="1"/>
    </xf>
    <xf numFmtId="164" fontId="0" fillId="3" borderId="1" xfId="0" applyNumberFormat="1" applyFill="1" applyBorder="1" applyAlignment="1">
      <alignment horizontal="center"/>
    </xf>
    <xf numFmtId="0" fontId="0" fillId="4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3" borderId="1" xfId="0" applyFill="1" applyBorder="1"/>
    <xf numFmtId="164" fontId="0" fillId="2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" fontId="0" fillId="3" borderId="1" xfId="0" applyNumberFormat="1" applyFill="1" applyBorder="1"/>
    <xf numFmtId="1" fontId="0" fillId="0" borderId="0" xfId="0" applyNumberFormat="1"/>
    <xf numFmtId="1" fontId="0" fillId="3" borderId="0" xfId="0" applyNumberFormat="1" applyFill="1"/>
    <xf numFmtId="0" fontId="0" fillId="0" borderId="2" xfId="0" applyBorder="1"/>
    <xf numFmtId="0" fontId="6" fillId="7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0" fillId="13" borderId="0" xfId="0" applyFill="1"/>
    <xf numFmtId="164" fontId="0" fillId="13" borderId="1" xfId="0" applyNumberFormat="1" applyFill="1" applyBorder="1" applyAlignment="1">
      <alignment horizontal="center"/>
    </xf>
    <xf numFmtId="0" fontId="6" fillId="14" borderId="1" xfId="0" applyFont="1" applyFill="1" applyBorder="1" applyAlignment="1">
      <alignment horizontal="center"/>
    </xf>
    <xf numFmtId="11" fontId="0" fillId="4" borderId="0" xfId="0" applyNumberFormat="1" applyFill="1"/>
    <xf numFmtId="165" fontId="0" fillId="4" borderId="0" xfId="0" applyNumberFormat="1" applyFill="1"/>
    <xf numFmtId="167" fontId="0" fillId="0" borderId="1" xfId="0" applyNumberFormat="1" applyBorder="1" applyAlignment="1">
      <alignment horizontal="center"/>
    </xf>
    <xf numFmtId="1" fontId="0" fillId="2" borderId="0" xfId="0" applyNumberFormat="1" applyFill="1"/>
    <xf numFmtId="1" fontId="0" fillId="5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68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Hoja3!$E$2</c:f>
              <c:strCache>
                <c:ptCount val="1"/>
                <c:pt idx="0">
                  <c:v>Pu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Hoja3!$C$3:$C$43</c:f>
              <c:numCache>
                <c:formatCode>General</c:formatCode>
                <c:ptCount val="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</c:numCache>
            </c:numRef>
          </c:xVal>
          <c:yVal>
            <c:numRef>
              <c:f>Hoja3!$E$3:$E$43</c:f>
              <c:numCache>
                <c:formatCode>0.000</c:formatCode>
                <c:ptCount val="41"/>
                <c:pt idx="0">
                  <c:v>0.80355719334474573</c:v>
                </c:pt>
                <c:pt idx="1">
                  <c:v>0.79034088516472389</c:v>
                </c:pt>
                <c:pt idx="2">
                  <c:v>0.77592100399017749</c:v>
                </c:pt>
                <c:pt idx="3">
                  <c:v>0.76017310083364276</c:v>
                </c:pt>
                <c:pt idx="4">
                  <c:v>0.74296123602436093</c:v>
                </c:pt>
                <c:pt idx="5">
                  <c:v>0.72413793103448276</c:v>
                </c:pt>
                <c:pt idx="6">
                  <c:v>0.70354459792010515</c:v>
                </c:pt>
                <c:pt idx="7">
                  <c:v>0.68101264207886958</c:v>
                </c:pt>
                <c:pt idx="8">
                  <c:v>0.65636547836261183</c:v>
                </c:pt>
                <c:pt idx="9">
                  <c:v>0.62942174156946673</c:v>
                </c:pt>
                <c:pt idx="10">
                  <c:v>0.60000000000000009</c:v>
                </c:pt>
                <c:pt idx="11">
                  <c:v>0.56792527973812335</c:v>
                </c:pt>
                <c:pt idx="12">
                  <c:v>0.53303765636452405</c:v>
                </c:pt>
                <c:pt idx="13">
                  <c:v>0.49520304400981674</c:v>
                </c:pt>
                <c:pt idx="14">
                  <c:v>0.45432608279601261</c:v>
                </c:pt>
                <c:pt idx="15">
                  <c:v>0.41036467732879789</c:v>
                </c:pt>
                <c:pt idx="16">
                  <c:v>0.36334527649164383</c:v>
                </c:pt>
                <c:pt idx="17">
                  <c:v>0.3133774542039019</c:v>
                </c:pt>
                <c:pt idx="18">
                  <c:v>0.26066585229076455</c:v>
                </c:pt>
                <c:pt idx="19">
                  <c:v>0.205517234286414</c:v>
                </c:pt>
                <c:pt idx="20">
                  <c:v>0.14834045293024475</c:v>
                </c:pt>
                <c:pt idx="21">
                  <c:v>8.9637699495890441E-2</c:v>
                </c:pt>
                <c:pt idx="22">
                  <c:v>2.9986509105671032E-2</c:v>
                </c:pt>
                <c:pt idx="23">
                  <c:v>-2.998650910567081E-2</c:v>
                </c:pt>
                <c:pt idx="24">
                  <c:v>-8.9637699495890441E-2</c:v>
                </c:pt>
                <c:pt idx="25">
                  <c:v>-0.14834045293024453</c:v>
                </c:pt>
                <c:pt idx="26">
                  <c:v>-0.20551723428641377</c:v>
                </c:pt>
                <c:pt idx="27">
                  <c:v>-0.26066585229076478</c:v>
                </c:pt>
                <c:pt idx="28">
                  <c:v>-0.31337745420390156</c:v>
                </c:pt>
                <c:pt idx="29">
                  <c:v>-0.36334527649164367</c:v>
                </c:pt>
                <c:pt idx="30">
                  <c:v>-0.41036467732879789</c:v>
                </c:pt>
                <c:pt idx="31">
                  <c:v>-0.45432608279601244</c:v>
                </c:pt>
                <c:pt idx="32">
                  <c:v>-0.4952030440098168</c:v>
                </c:pt>
                <c:pt idx="33">
                  <c:v>-0.53303765636452372</c:v>
                </c:pt>
                <c:pt idx="34">
                  <c:v>-0.56792527973812323</c:v>
                </c:pt>
                <c:pt idx="35">
                  <c:v>-0.6</c:v>
                </c:pt>
                <c:pt idx="36">
                  <c:v>-0.62942174156946673</c:v>
                </c:pt>
                <c:pt idx="37">
                  <c:v>-0.65636547836261183</c:v>
                </c:pt>
                <c:pt idx="38">
                  <c:v>-0.68101264207886947</c:v>
                </c:pt>
                <c:pt idx="39">
                  <c:v>-0.70354459792010504</c:v>
                </c:pt>
                <c:pt idx="40">
                  <c:v>-0.72413793103448265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54-4345-85FD-E3B625A7B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735055"/>
        <c:axId val="997735535"/>
      </c:scatterChart>
      <c:valAx>
        <c:axId val="99773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7735535"/>
        <c:crosses val="autoZero"/>
        <c:crossBetween val="midCat"/>
      </c:valAx>
      <c:valAx>
        <c:axId val="99773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7735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752475</xdr:colOff>
      <xdr:row>0</xdr:row>
      <xdr:rowOff>0</xdr:rowOff>
    </xdr:from>
    <xdr:to>
      <xdr:col>27</xdr:col>
      <xdr:colOff>475427</xdr:colOff>
      <xdr:row>35</xdr:row>
      <xdr:rowOff>18214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308868-5F10-428B-B2C6-70E3F2D7A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82775" y="0"/>
          <a:ext cx="6580952" cy="6685714"/>
        </a:xfrm>
        <a:prstGeom prst="rect">
          <a:avLst/>
        </a:prstGeom>
      </xdr:spPr>
    </xdr:pic>
    <xdr:clientData/>
  </xdr:twoCellAnchor>
  <xdr:twoCellAnchor editAs="oneCell">
    <xdr:from>
      <xdr:col>21</xdr:col>
      <xdr:colOff>219075</xdr:colOff>
      <xdr:row>36</xdr:row>
      <xdr:rowOff>47625</xdr:rowOff>
    </xdr:from>
    <xdr:to>
      <xdr:col>31</xdr:col>
      <xdr:colOff>65742</xdr:colOff>
      <xdr:row>72</xdr:row>
      <xdr:rowOff>65815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1F65FD-BCA6-43DC-AA99-21DDC9FB4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21175" y="6905625"/>
          <a:ext cx="7466667" cy="6876190"/>
        </a:xfrm>
        <a:prstGeom prst="rect">
          <a:avLst/>
        </a:prstGeom>
      </xdr:spPr>
    </xdr:pic>
    <xdr:clientData/>
  </xdr:twoCellAnchor>
  <xdr:twoCellAnchor editAs="oneCell">
    <xdr:from>
      <xdr:col>17</xdr:col>
      <xdr:colOff>133350</xdr:colOff>
      <xdr:row>0</xdr:row>
      <xdr:rowOff>180975</xdr:rowOff>
    </xdr:from>
    <xdr:to>
      <xdr:col>25</xdr:col>
      <xdr:colOff>275445</xdr:colOff>
      <xdr:row>18</xdr:row>
      <xdr:rowOff>161499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BA38545-1CA8-4983-963E-0DBBBD0A0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239750" y="180975"/>
          <a:ext cx="6238095" cy="3409524"/>
        </a:xfrm>
        <a:prstGeom prst="rect">
          <a:avLst/>
        </a:prstGeom>
      </xdr:spPr>
    </xdr:pic>
    <xdr:clientData/>
  </xdr:twoCellAnchor>
  <xdr:twoCellAnchor editAs="oneCell">
    <xdr:from>
      <xdr:col>21</xdr:col>
      <xdr:colOff>304800</xdr:colOff>
      <xdr:row>39</xdr:row>
      <xdr:rowOff>47625</xdr:rowOff>
    </xdr:from>
    <xdr:to>
      <xdr:col>30</xdr:col>
      <xdr:colOff>65848</xdr:colOff>
      <xdr:row>58</xdr:row>
      <xdr:rowOff>46813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9C5B476-A6C3-4298-B7E4-B90B936822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44287"/>
        <a:stretch/>
      </xdr:blipFill>
      <xdr:spPr>
        <a:xfrm>
          <a:off x="17106900" y="7477125"/>
          <a:ext cx="6619048" cy="36186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2</xdr:row>
      <xdr:rowOff>133350</xdr:rowOff>
    </xdr:from>
    <xdr:to>
      <xdr:col>7</xdr:col>
      <xdr:colOff>408871</xdr:colOff>
      <xdr:row>23</xdr:row>
      <xdr:rowOff>161421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23F2B1-9322-4DEB-BFFD-5D22C1B6C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514350"/>
          <a:ext cx="5628571" cy="4028571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27</xdr:row>
      <xdr:rowOff>28575</xdr:rowOff>
    </xdr:from>
    <xdr:to>
      <xdr:col>9</xdr:col>
      <xdr:colOff>380538</xdr:colOff>
      <xdr:row>33</xdr:row>
      <xdr:rowOff>28432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8E844B7-B277-4120-8216-1B267850B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43300" y="5172075"/>
          <a:ext cx="3695238" cy="11428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733425</xdr:colOff>
      <xdr:row>2</xdr:row>
      <xdr:rowOff>109537</xdr:rowOff>
    </xdr:from>
    <xdr:to>
      <xdr:col>12</xdr:col>
      <xdr:colOff>733425</xdr:colOff>
      <xdr:row>16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9257C40-3E1B-B66A-29A1-5B4658687B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1"/>
  <sheetViews>
    <sheetView zoomScale="115" zoomScaleNormal="115" workbookViewId="0">
      <selection activeCell="F15" sqref="F15"/>
    </sheetView>
  </sheetViews>
  <sheetFormatPr baseColWidth="10" defaultRowHeight="15" x14ac:dyDescent="0.25"/>
  <cols>
    <col min="1" max="1" width="13.7109375" bestFit="1" customWidth="1"/>
    <col min="4" max="5" width="12" bestFit="1" customWidth="1"/>
    <col min="7" max="7" width="14.7109375" bestFit="1" customWidth="1"/>
    <col min="8" max="8" width="12.140625" bestFit="1" customWidth="1"/>
    <col min="9" max="9" width="12.5703125" bestFit="1" customWidth="1"/>
    <col min="10" max="10" width="12" bestFit="1" customWidth="1"/>
    <col min="12" max="12" width="11.5703125" bestFit="1" customWidth="1"/>
    <col min="13" max="14" width="12.28515625" bestFit="1" customWidth="1"/>
    <col min="15" max="15" width="13" bestFit="1" customWidth="1"/>
    <col min="16" max="17" width="12.28515625" bestFit="1" customWidth="1"/>
  </cols>
  <sheetData>
    <row r="1" spans="1:17" x14ac:dyDescent="0.25">
      <c r="A1" s="2" t="s">
        <v>5</v>
      </c>
      <c r="B1" s="2">
        <v>25</v>
      </c>
      <c r="D1" s="52" t="s">
        <v>18</v>
      </c>
      <c r="E1" s="52"/>
      <c r="G1" s="52" t="s">
        <v>20</v>
      </c>
      <c r="H1" s="52"/>
    </row>
    <row r="2" spans="1:17" x14ac:dyDescent="0.25">
      <c r="A2" s="2" t="s">
        <v>1</v>
      </c>
      <c r="B2" s="2">
        <v>4</v>
      </c>
      <c r="D2" s="51" t="s">
        <v>6</v>
      </c>
      <c r="E2" s="51"/>
      <c r="G2" s="51" t="s">
        <v>6</v>
      </c>
      <c r="H2" s="51"/>
      <c r="M2">
        <f>+M20/M11</f>
        <v>0.28255379138194148</v>
      </c>
      <c r="N2">
        <f>+N20/N11</f>
        <v>0.28255379138194142</v>
      </c>
      <c r="O2" t="e">
        <f t="shared" ref="N2:P3" si="0">+O20/O11</f>
        <v>#DIV/0!</v>
      </c>
      <c r="P2">
        <f t="shared" si="0"/>
        <v>0.28255379138194148</v>
      </c>
      <c r="Q2">
        <f>+Q20/Q11</f>
        <v>0.28255379138194153</v>
      </c>
    </row>
    <row r="3" spans="1:17" x14ac:dyDescent="0.25">
      <c r="A3" s="2" t="s">
        <v>2</v>
      </c>
      <c r="B3" s="2">
        <v>0</v>
      </c>
      <c r="D3" s="2" t="s">
        <v>0</v>
      </c>
      <c r="E3" s="50">
        <f>(L - la)^3/6 - lb^3/6</f>
        <v>10.666666666666666</v>
      </c>
      <c r="G3" s="2" t="s">
        <v>0</v>
      </c>
      <c r="H3" s="11">
        <f>(L - lb)^3/6 - la^3/6</f>
        <v>10.666666666666666</v>
      </c>
      <c r="M3">
        <f>+M21/M12</f>
        <v>0.28255379138194142</v>
      </c>
      <c r="N3">
        <f t="shared" si="0"/>
        <v>0.2986732535788128</v>
      </c>
      <c r="O3" t="e">
        <f t="shared" si="0"/>
        <v>#DIV/0!</v>
      </c>
      <c r="P3">
        <f t="shared" si="0"/>
        <v>0.28255379138194148</v>
      </c>
      <c r="Q3" s="14">
        <f>+Q21/Q12</f>
        <v>0.25445987155310845</v>
      </c>
    </row>
    <row r="4" spans="1:17" x14ac:dyDescent="0.25">
      <c r="A4" s="2" t="s">
        <v>3</v>
      </c>
      <c r="B4" s="2">
        <v>0</v>
      </c>
      <c r="D4" s="2" t="s">
        <v>4</v>
      </c>
      <c r="E4" s="3">
        <f>(L - la)^4/8 - lb^4/8</f>
        <v>32</v>
      </c>
      <c r="G4" s="2" t="s">
        <v>4</v>
      </c>
      <c r="H4" s="11">
        <f>(L - lb)^4/8 - la^4/8</f>
        <v>32</v>
      </c>
      <c r="M4" t="e">
        <f t="shared" ref="M4:Q6" si="1">+M22/M13</f>
        <v>#DIV/0!</v>
      </c>
      <c r="N4" t="e">
        <f t="shared" si="1"/>
        <v>#DIV/0!</v>
      </c>
      <c r="O4">
        <f t="shared" si="1"/>
        <v>0.63962726400747072</v>
      </c>
      <c r="P4" t="e">
        <f t="shared" si="1"/>
        <v>#DIV/0!</v>
      </c>
      <c r="Q4" t="e">
        <f t="shared" si="1"/>
        <v>#DIV/0!</v>
      </c>
    </row>
    <row r="5" spans="1:17" x14ac:dyDescent="0.25">
      <c r="A5" s="2" t="s">
        <v>9</v>
      </c>
      <c r="B5" s="45">
        <f>0.4^4/12</f>
        <v>2.1333333333333343E-3</v>
      </c>
      <c r="D5" s="5"/>
      <c r="E5" s="5"/>
      <c r="G5" s="5"/>
      <c r="H5" s="5"/>
      <c r="M5">
        <f t="shared" si="1"/>
        <v>0.28255379138194148</v>
      </c>
      <c r="N5">
        <f t="shared" si="1"/>
        <v>0.28255379138194142</v>
      </c>
      <c r="O5" t="e">
        <f t="shared" si="1"/>
        <v>#DIV/0!</v>
      </c>
      <c r="P5">
        <f t="shared" si="1"/>
        <v>0.28255379138194148</v>
      </c>
      <c r="Q5">
        <f t="shared" si="1"/>
        <v>0.28255379138194153</v>
      </c>
    </row>
    <row r="6" spans="1:17" x14ac:dyDescent="0.25">
      <c r="A6" s="2" t="s">
        <v>0</v>
      </c>
      <c r="B6" s="2">
        <f>0.4^2</f>
        <v>0.16000000000000003</v>
      </c>
      <c r="D6" s="51" t="s">
        <v>7</v>
      </c>
      <c r="E6" s="51"/>
      <c r="G6" s="51" t="s">
        <v>7</v>
      </c>
      <c r="H6" s="51"/>
      <c r="M6" s="19">
        <f>+M24/M15</f>
        <v>0.28255379138194148</v>
      </c>
      <c r="N6">
        <f t="shared" si="1"/>
        <v>0.25445987155310834</v>
      </c>
      <c r="O6" t="e">
        <f t="shared" si="1"/>
        <v>#DIV/0!</v>
      </c>
      <c r="P6">
        <f t="shared" si="1"/>
        <v>0.28255379138194148</v>
      </c>
      <c r="Q6" s="1">
        <f t="shared" si="1"/>
        <v>0.29867325357881291</v>
      </c>
    </row>
    <row r="7" spans="1:17" x14ac:dyDescent="0.25">
      <c r="A7" s="2" t="s">
        <v>10</v>
      </c>
      <c r="B7" s="2">
        <f>24855578</f>
        <v>24855578</v>
      </c>
      <c r="D7" s="2" t="s">
        <v>0</v>
      </c>
      <c r="E7" s="45">
        <f>(L - la)^2/2 - lb^2/2</f>
        <v>8</v>
      </c>
      <c r="G7" s="2" t="s">
        <v>0</v>
      </c>
      <c r="H7" s="12">
        <f>(L - lb)^2/2 - la^2/2</f>
        <v>8</v>
      </c>
    </row>
    <row r="8" spans="1:17" x14ac:dyDescent="0.25">
      <c r="A8" s="2" t="s">
        <v>11</v>
      </c>
      <c r="B8" s="2">
        <f>0.4*E</f>
        <v>9942231.2000000011</v>
      </c>
      <c r="D8" s="2" t="s">
        <v>4</v>
      </c>
      <c r="E8" s="4">
        <f>(L - la)^3/3 - lb^3/3</f>
        <v>21.333333333333332</v>
      </c>
      <c r="G8" s="2" t="s">
        <v>4</v>
      </c>
      <c r="H8" s="13">
        <f>(L - lb)^3/3 - la^3/3</f>
        <v>21.333333333333332</v>
      </c>
    </row>
    <row r="9" spans="1:17" x14ac:dyDescent="0.25">
      <c r="A9" s="2" t="s">
        <v>12</v>
      </c>
      <c r="B9" s="2">
        <f>5/6</f>
        <v>0.83333333333333337</v>
      </c>
      <c r="D9" s="5"/>
      <c r="E9" s="5"/>
      <c r="G9" s="5"/>
      <c r="H9" s="5"/>
      <c r="L9" s="19"/>
      <c r="M9" s="21"/>
    </row>
    <row r="10" spans="1:17" x14ac:dyDescent="0.25">
      <c r="D10" s="51" t="s">
        <v>8</v>
      </c>
      <c r="E10" s="51"/>
      <c r="G10" s="51" t="s">
        <v>8</v>
      </c>
      <c r="H10" s="51"/>
      <c r="L10" s="31">
        <v>1554378.8952504499</v>
      </c>
      <c r="M10" s="31">
        <v>0</v>
      </c>
      <c r="N10" s="31">
        <v>0</v>
      </c>
      <c r="O10" s="31">
        <v>-1554378.8952504499</v>
      </c>
      <c r="P10" s="31">
        <v>0</v>
      </c>
      <c r="Q10" s="31">
        <v>0</v>
      </c>
    </row>
    <row r="11" spans="1:17" x14ac:dyDescent="0.25">
      <c r="A11" s="25"/>
      <c r="D11" s="2" t="s">
        <v>0</v>
      </c>
      <c r="E11" s="2">
        <f>L - la - lb</f>
        <v>4</v>
      </c>
      <c r="G11" s="2" t="s">
        <v>0</v>
      </c>
      <c r="H11" s="12">
        <f>L - la - lb</f>
        <v>4</v>
      </c>
      <c r="L11" s="31">
        <v>0</v>
      </c>
      <c r="M11" s="46">
        <v>34162.173521987876</v>
      </c>
      <c r="N11" s="31">
        <v>-68324.347043975737</v>
      </c>
      <c r="O11" s="31">
        <v>0</v>
      </c>
      <c r="P11" s="46">
        <v>34162.173521987868</v>
      </c>
      <c r="Q11" s="31">
        <v>68324.347043975722</v>
      </c>
    </row>
    <row r="12" spans="1:17" x14ac:dyDescent="0.25">
      <c r="A12" s="25"/>
      <c r="D12" s="2" t="s">
        <v>4</v>
      </c>
      <c r="E12" s="2">
        <f>(L - la)^2/2 - lb^2/2</f>
        <v>8</v>
      </c>
      <c r="G12" s="2" t="s">
        <v>4</v>
      </c>
      <c r="H12" s="12">
        <f>(L - lb)^2/2 - la^2/2</f>
        <v>8</v>
      </c>
      <c r="L12" s="31">
        <v>0</v>
      </c>
      <c r="M12" s="31">
        <v>-68324.347043975766</v>
      </c>
      <c r="N12" s="31">
        <v>173657.71540343831</v>
      </c>
      <c r="O12" s="31">
        <v>0</v>
      </c>
      <c r="P12" s="31">
        <v>-68324.347043975737</v>
      </c>
      <c r="Q12" s="31">
        <v>-99639.672772464604</v>
      </c>
    </row>
    <row r="13" spans="1:17" x14ac:dyDescent="0.25">
      <c r="L13" s="31">
        <v>-1554378.8952504499</v>
      </c>
      <c r="M13" s="31">
        <v>0</v>
      </c>
      <c r="N13" s="31">
        <v>0</v>
      </c>
      <c r="O13" s="31">
        <v>1554378.8952504499</v>
      </c>
      <c r="P13" s="31">
        <v>0</v>
      </c>
      <c r="Q13" s="31">
        <v>0</v>
      </c>
    </row>
    <row r="14" spans="1:17" x14ac:dyDescent="0.25">
      <c r="C14" s="5"/>
      <c r="D14" s="8" t="s">
        <v>14</v>
      </c>
      <c r="E14" s="8" t="s">
        <v>15</v>
      </c>
      <c r="F14" s="8" t="s">
        <v>13</v>
      </c>
      <c r="G14" s="8" t="s">
        <v>16</v>
      </c>
      <c r="H14" s="7"/>
      <c r="I14" s="7"/>
      <c r="L14" s="31">
        <v>0</v>
      </c>
      <c r="M14" s="46">
        <v>34162.173521987876</v>
      </c>
      <c r="N14" s="31">
        <v>-68324.347043975737</v>
      </c>
      <c r="O14" s="31">
        <v>0</v>
      </c>
      <c r="P14" s="46">
        <v>34162.173521987868</v>
      </c>
      <c r="Q14" s="31">
        <v>68324.347043975722</v>
      </c>
    </row>
    <row r="15" spans="1:17" x14ac:dyDescent="0.25">
      <c r="A15" s="49"/>
      <c r="C15" s="8" t="s">
        <v>4</v>
      </c>
      <c r="D15" s="2">
        <v>0</v>
      </c>
      <c r="E15" s="2">
        <v>0</v>
      </c>
      <c r="F15" s="15">
        <f>+$E$8/(E*I)+$E$11/(A*G*ks)</f>
        <v>4.0534160983904681E-4</v>
      </c>
      <c r="G15" s="15">
        <f>+$E$12/(E*I)</f>
        <v>1.5087156693761048E-4</v>
      </c>
      <c r="H15" s="16">
        <f>+w*$E$4/(E*I)+w*$E$7/(A*G*ks)</f>
        <v>1.5238028260698658E-2</v>
      </c>
      <c r="I15" s="6">
        <f t="array" ref="I15:I18">MMULT(MINVERSE(D15:G18),H15:H18)</f>
        <v>49.999999999999986</v>
      </c>
      <c r="L15" s="31">
        <v>0</v>
      </c>
      <c r="M15" s="31">
        <v>-68324.347043975737</v>
      </c>
      <c r="N15" s="31">
        <v>99639.672772464633</v>
      </c>
      <c r="O15" s="31">
        <v>0</v>
      </c>
      <c r="P15" s="31">
        <v>-68324.347043975737</v>
      </c>
      <c r="Q15" s="31">
        <v>-173657.71540343828</v>
      </c>
    </row>
    <row r="16" spans="1:17" x14ac:dyDescent="0.25">
      <c r="C16" s="8" t="s">
        <v>0</v>
      </c>
      <c r="D16" s="2">
        <v>0</v>
      </c>
      <c r="E16" s="2">
        <v>0</v>
      </c>
      <c r="F16" s="15">
        <f>+$E$7/(E*I)</f>
        <v>1.5087156693761048E-4</v>
      </c>
      <c r="G16" s="2">
        <f>+$E$11/(E*I)</f>
        <v>7.5435783468805239E-5</v>
      </c>
      <c r="H16" s="15">
        <f>+w*$E$3/(E*I)</f>
        <v>5.029052231253682E-3</v>
      </c>
      <c r="I16" s="6">
        <v>-33.333333333333485</v>
      </c>
      <c r="J16" s="24">
        <f>-I16+I15*za+w*za^2/2</f>
        <v>33.333333333333485</v>
      </c>
    </row>
    <row r="17" spans="1:18" x14ac:dyDescent="0.25">
      <c r="C17" s="9" t="s">
        <v>19</v>
      </c>
      <c r="D17" s="2">
        <v>1</v>
      </c>
      <c r="E17" s="2">
        <v>0</v>
      </c>
      <c r="F17" s="2">
        <v>1</v>
      </c>
      <c r="G17" s="2">
        <v>0</v>
      </c>
      <c r="H17" s="2">
        <f>+w*L</f>
        <v>100</v>
      </c>
      <c r="I17" s="6">
        <v>50.000000000000014</v>
      </c>
      <c r="J17" s="1"/>
    </row>
    <row r="18" spans="1:18" x14ac:dyDescent="0.25">
      <c r="C18" s="10" t="s">
        <v>17</v>
      </c>
      <c r="D18" s="2">
        <v>0</v>
      </c>
      <c r="E18" s="2">
        <v>1</v>
      </c>
      <c r="F18" s="2">
        <f>L</f>
        <v>4</v>
      </c>
      <c r="G18" s="2">
        <v>-1</v>
      </c>
      <c r="H18" s="2">
        <f>+w*L^2/2</f>
        <v>200</v>
      </c>
      <c r="I18" s="6">
        <v>-33.333333333333371</v>
      </c>
      <c r="J18" s="24"/>
    </row>
    <row r="19" spans="1:18" x14ac:dyDescent="0.25">
      <c r="A19" s="1"/>
      <c r="L19" s="5">
        <f>A*E/(L)</f>
        <v>994223.12000000023</v>
      </c>
      <c r="M19" s="5">
        <v>0</v>
      </c>
      <c r="N19" s="5">
        <v>0</v>
      </c>
      <c r="O19" s="5">
        <f>A*E/(L)</f>
        <v>994223.12000000023</v>
      </c>
      <c r="P19" s="5">
        <v>0</v>
      </c>
      <c r="Q19" s="5">
        <v>0</v>
      </c>
    </row>
    <row r="20" spans="1:18" x14ac:dyDescent="0.25">
      <c r="C20" s="7"/>
      <c r="D20" s="8" t="s">
        <v>14</v>
      </c>
      <c r="E20" s="8" t="s">
        <v>15</v>
      </c>
      <c r="F20" s="8" t="s">
        <v>13</v>
      </c>
      <c r="G20" s="8" t="s">
        <v>16</v>
      </c>
      <c r="H20" s="7"/>
      <c r="I20" s="7"/>
      <c r="L20" s="5">
        <v>0</v>
      </c>
      <c r="M20" s="17">
        <f>+I21</f>
        <v>9652.6516504854462</v>
      </c>
      <c r="N20" s="17">
        <f>+I27</f>
        <v>-19305.303300970885</v>
      </c>
      <c r="O20" s="5">
        <v>0</v>
      </c>
      <c r="P20" s="17">
        <f>+I33</f>
        <v>9652.6516504854444</v>
      </c>
      <c r="Q20" s="18">
        <f>+I39</f>
        <v>19305.303300970889</v>
      </c>
    </row>
    <row r="21" spans="1:18" x14ac:dyDescent="0.25">
      <c r="C21" s="8" t="s">
        <v>4</v>
      </c>
      <c r="D21" s="2">
        <f>+$E$8/(E*I)+$E$11/(A*G*ks)</f>
        <v>4.0534160983904681E-4</v>
      </c>
      <c r="E21" s="2">
        <f>+$E$12/(E*I)</f>
        <v>1.5087156693761048E-4</v>
      </c>
      <c r="F21" s="2">
        <v>0</v>
      </c>
      <c r="G21" s="2">
        <v>0</v>
      </c>
      <c r="H21" s="3">
        <v>1</v>
      </c>
      <c r="I21" s="6">
        <f t="array" ref="I21:I24">MMULT(MINVERSE(D21:G24),H21:H24)</f>
        <v>9652.6516504854462</v>
      </c>
      <c r="J21" s="24" t="s">
        <v>24</v>
      </c>
      <c r="L21" s="5">
        <v>0</v>
      </c>
      <c r="M21" s="17">
        <f>+I22</f>
        <v>-19305.303300970896</v>
      </c>
      <c r="N21" s="18">
        <f>+I28</f>
        <v>51866.914868608437</v>
      </c>
      <c r="O21" s="5">
        <v>0</v>
      </c>
      <c r="P21" s="18">
        <f>+I34</f>
        <v>-19305.303300970889</v>
      </c>
      <c r="Q21" s="17">
        <f>+I40</f>
        <v>-25354.298335275103</v>
      </c>
    </row>
    <row r="22" spans="1:18" x14ac:dyDescent="0.25">
      <c r="C22" s="8" t="s">
        <v>0</v>
      </c>
      <c r="D22" s="2">
        <f>+$E$7/(E*I)</f>
        <v>1.5087156693761048E-4</v>
      </c>
      <c r="E22" s="2">
        <f>+$E$11/(E*I)</f>
        <v>7.5435783468805239E-5</v>
      </c>
      <c r="F22" s="2">
        <v>0</v>
      </c>
      <c r="G22" s="2">
        <v>0</v>
      </c>
      <c r="H22" s="2">
        <v>0</v>
      </c>
      <c r="I22" s="6">
        <v>-19305.303300970896</v>
      </c>
      <c r="J22" t="s">
        <v>21</v>
      </c>
      <c r="L22" s="5">
        <f>A*E/(L)</f>
        <v>994223.12000000023</v>
      </c>
      <c r="M22" s="26">
        <v>0</v>
      </c>
      <c r="N22" s="5">
        <v>0</v>
      </c>
      <c r="O22" s="5">
        <f>+L19</f>
        <v>994223.12000000023</v>
      </c>
      <c r="P22" s="5">
        <v>0</v>
      </c>
      <c r="Q22" s="5">
        <v>0</v>
      </c>
    </row>
    <row r="23" spans="1:18" x14ac:dyDescent="0.25">
      <c r="C23" s="9" t="s">
        <v>19</v>
      </c>
      <c r="D23" s="2">
        <v>1</v>
      </c>
      <c r="E23" s="2">
        <v>0</v>
      </c>
      <c r="F23" s="15">
        <v>-1</v>
      </c>
      <c r="G23" s="2">
        <v>0</v>
      </c>
      <c r="H23" s="2">
        <v>0</v>
      </c>
      <c r="I23" s="28">
        <v>9652.6516504854462</v>
      </c>
      <c r="J23" s="24" t="s">
        <v>24</v>
      </c>
      <c r="L23" s="5">
        <v>0</v>
      </c>
      <c r="M23" s="17">
        <f>+I23</f>
        <v>9652.6516504854462</v>
      </c>
      <c r="N23" s="18">
        <f>+I29</f>
        <v>-19305.303300970885</v>
      </c>
      <c r="O23" s="5">
        <v>0</v>
      </c>
      <c r="P23" s="18">
        <f>+I35</f>
        <v>9652.6516504854444</v>
      </c>
      <c r="Q23" s="17">
        <f>+I41</f>
        <v>19305.303300970889</v>
      </c>
    </row>
    <row r="24" spans="1:18" x14ac:dyDescent="0.25">
      <c r="C24" s="10" t="s">
        <v>17</v>
      </c>
      <c r="D24" s="2">
        <v>0</v>
      </c>
      <c r="E24" s="2">
        <v>1</v>
      </c>
      <c r="F24" s="2">
        <v>4</v>
      </c>
      <c r="G24" s="2">
        <v>1</v>
      </c>
      <c r="H24" s="2">
        <v>0</v>
      </c>
      <c r="I24" s="27">
        <v>-19305.303300970889</v>
      </c>
      <c r="J24" t="s">
        <v>21</v>
      </c>
      <c r="L24" s="5">
        <v>0</v>
      </c>
      <c r="M24" s="17">
        <f>+I24</f>
        <v>-19305.303300970889</v>
      </c>
      <c r="N24" s="18">
        <f>+I30</f>
        <v>25354.2983352751</v>
      </c>
      <c r="O24" s="5">
        <v>0</v>
      </c>
      <c r="P24" s="18">
        <f>+I36</f>
        <v>-19305.303300970889</v>
      </c>
      <c r="Q24" s="30">
        <f>+I42</f>
        <v>-51866.914868608452</v>
      </c>
    </row>
    <row r="25" spans="1:18" x14ac:dyDescent="0.25">
      <c r="L25" s="33">
        <v>0</v>
      </c>
    </row>
    <row r="26" spans="1:18" x14ac:dyDescent="0.25">
      <c r="C26" s="7"/>
      <c r="D26" s="8" t="s">
        <v>14</v>
      </c>
      <c r="E26" s="8" t="s">
        <v>15</v>
      </c>
      <c r="F26" s="8" t="s">
        <v>13</v>
      </c>
      <c r="G26" s="8" t="s">
        <v>16</v>
      </c>
      <c r="H26" s="7"/>
      <c r="I26" s="7"/>
    </row>
    <row r="27" spans="1:18" x14ac:dyDescent="0.25">
      <c r="C27" s="8" t="s">
        <v>4</v>
      </c>
      <c r="D27" s="2">
        <f>+$E$8/(E*I)+$E$11/(A*G*ks)</f>
        <v>4.0534160983904681E-4</v>
      </c>
      <c r="E27" s="2">
        <f>+$E$12/(E*I)</f>
        <v>1.5087156693761048E-4</v>
      </c>
      <c r="F27" s="2">
        <v>0</v>
      </c>
      <c r="G27" s="2">
        <v>0</v>
      </c>
      <c r="H27" s="3">
        <v>0</v>
      </c>
      <c r="I27" s="6">
        <f t="array" ref="I27:I30">MMULT(MINVERSE(D27:G30),H27:H30)</f>
        <v>-19305.303300970885</v>
      </c>
      <c r="J27" t="s">
        <v>21</v>
      </c>
      <c r="L27" s="15">
        <f>+L19</f>
        <v>994223.12000000023</v>
      </c>
      <c r="M27" s="15">
        <v>0</v>
      </c>
      <c r="N27" s="15">
        <v>0</v>
      </c>
      <c r="O27" s="15">
        <f>-O19</f>
        <v>-994223.12000000023</v>
      </c>
      <c r="P27" s="15">
        <v>0</v>
      </c>
      <c r="Q27" s="15">
        <v>0</v>
      </c>
      <c r="R27" s="23"/>
    </row>
    <row r="28" spans="1:18" x14ac:dyDescent="0.25">
      <c r="C28" s="8" t="s">
        <v>0</v>
      </c>
      <c r="D28" s="2">
        <f>+$E$7/(E*I)</f>
        <v>1.5087156693761048E-4</v>
      </c>
      <c r="E28" s="2">
        <f>+$E$11/(E*I)</f>
        <v>7.5435783468805239E-5</v>
      </c>
      <c r="F28" s="2">
        <v>0</v>
      </c>
      <c r="G28" s="2">
        <v>0</v>
      </c>
      <c r="H28" s="2">
        <v>1</v>
      </c>
      <c r="I28" s="6">
        <v>51866.914868608437</v>
      </c>
      <c r="J28" t="s">
        <v>22</v>
      </c>
      <c r="K28" s="20"/>
      <c r="L28" s="15">
        <f t="shared" ref="L28:L32" si="2">+L20</f>
        <v>0</v>
      </c>
      <c r="M28" s="47">
        <f>+M20</f>
        <v>9652.6516504854462</v>
      </c>
      <c r="N28" s="48">
        <f>+M29</f>
        <v>19305.303300970889</v>
      </c>
      <c r="O28" s="2">
        <v>0</v>
      </c>
      <c r="P28" s="48">
        <f>+M31</f>
        <v>-9652.6516504854462</v>
      </c>
      <c r="Q28" s="48">
        <f>M32</f>
        <v>19305.303300970896</v>
      </c>
      <c r="R28" s="23"/>
    </row>
    <row r="29" spans="1:18" x14ac:dyDescent="0.25">
      <c r="C29" s="9" t="s">
        <v>19</v>
      </c>
      <c r="D29" s="2">
        <v>1</v>
      </c>
      <c r="E29" s="2">
        <v>0</v>
      </c>
      <c r="F29" s="15">
        <v>-1</v>
      </c>
      <c r="G29" s="2">
        <v>0</v>
      </c>
      <c r="H29" s="2">
        <v>0</v>
      </c>
      <c r="I29" s="6">
        <v>-19305.303300970885</v>
      </c>
      <c r="J29" t="s">
        <v>21</v>
      </c>
      <c r="K29" s="20"/>
      <c r="L29" s="15">
        <f t="shared" si="2"/>
        <v>0</v>
      </c>
      <c r="M29" s="48">
        <f>-M24</f>
        <v>19305.303300970889</v>
      </c>
      <c r="N29" s="47">
        <f>-Q24</f>
        <v>51866.914868608452</v>
      </c>
      <c r="O29" s="2">
        <v>0</v>
      </c>
      <c r="P29" s="48">
        <f>N31</f>
        <v>-19305.303300970889</v>
      </c>
      <c r="Q29" s="48">
        <f>N32</f>
        <v>-25354.298335275103</v>
      </c>
      <c r="R29" s="23"/>
    </row>
    <row r="30" spans="1:18" x14ac:dyDescent="0.25">
      <c r="C30" s="10" t="s">
        <v>17</v>
      </c>
      <c r="D30" s="2">
        <v>0</v>
      </c>
      <c r="E30" s="2">
        <v>1</v>
      </c>
      <c r="F30" s="2">
        <v>4</v>
      </c>
      <c r="G30" s="2">
        <v>1</v>
      </c>
      <c r="H30" s="2">
        <v>0</v>
      </c>
      <c r="I30" s="22">
        <v>25354.2983352751</v>
      </c>
      <c r="J30" t="s">
        <v>23</v>
      </c>
      <c r="K30" s="20"/>
      <c r="L30" s="15">
        <f>-L22</f>
        <v>-994223.12000000023</v>
      </c>
      <c r="M30" s="2">
        <v>0</v>
      </c>
      <c r="N30" s="2">
        <v>0</v>
      </c>
      <c r="O30" s="2">
        <f>+O22</f>
        <v>994223.12000000023</v>
      </c>
      <c r="P30" s="2">
        <v>0</v>
      </c>
      <c r="Q30" s="2">
        <v>0</v>
      </c>
      <c r="R30" s="23"/>
    </row>
    <row r="31" spans="1:18" x14ac:dyDescent="0.25">
      <c r="L31" s="15">
        <f t="shared" si="2"/>
        <v>0</v>
      </c>
      <c r="M31" s="48">
        <f>-M23</f>
        <v>-9652.6516504854462</v>
      </c>
      <c r="N31" s="48">
        <f>-Q23</f>
        <v>-19305.303300970889</v>
      </c>
      <c r="O31" s="2">
        <v>0</v>
      </c>
      <c r="P31" s="47">
        <f>+P23</f>
        <v>9652.6516504854444</v>
      </c>
      <c r="Q31" s="48">
        <f>+P32</f>
        <v>-19305.303300970885</v>
      </c>
      <c r="R31" s="23"/>
    </row>
    <row r="32" spans="1:18" x14ac:dyDescent="0.25">
      <c r="C32" s="7"/>
      <c r="D32" s="8" t="s">
        <v>14</v>
      </c>
      <c r="E32" s="8" t="s">
        <v>15</v>
      </c>
      <c r="F32" s="8" t="s">
        <v>13</v>
      </c>
      <c r="G32" s="8" t="s">
        <v>16</v>
      </c>
      <c r="H32" s="7"/>
      <c r="I32" s="7"/>
      <c r="L32" s="15">
        <f t="shared" si="2"/>
        <v>0</v>
      </c>
      <c r="M32" s="48">
        <f>-M21</f>
        <v>19305.303300970896</v>
      </c>
      <c r="N32" s="48">
        <f>Q21</f>
        <v>-25354.298335275103</v>
      </c>
      <c r="O32" s="2">
        <v>0</v>
      </c>
      <c r="P32" s="48">
        <f>N23</f>
        <v>-19305.303300970885</v>
      </c>
      <c r="Q32" s="47">
        <f>N21</f>
        <v>51866.914868608437</v>
      </c>
      <c r="R32" s="23"/>
    </row>
    <row r="33" spans="3:18" x14ac:dyDescent="0.25">
      <c r="C33" s="9" t="s">
        <v>19</v>
      </c>
      <c r="D33" s="15">
        <v>-1</v>
      </c>
      <c r="E33" s="2">
        <v>0</v>
      </c>
      <c r="F33" s="15">
        <v>1</v>
      </c>
      <c r="G33" s="2">
        <v>0</v>
      </c>
      <c r="H33" s="2">
        <v>0</v>
      </c>
      <c r="I33" s="6">
        <f t="array" ref="I33:I36">MMULT(MINVERSE(D33:G36),H33:H36)</f>
        <v>9652.6516504854444</v>
      </c>
      <c r="J33" s="24" t="s">
        <v>24</v>
      </c>
      <c r="L33" s="1"/>
      <c r="M33" s="1"/>
      <c r="N33" s="1"/>
      <c r="O33" s="1"/>
    </row>
    <row r="34" spans="3:18" x14ac:dyDescent="0.25">
      <c r="C34" s="10" t="s">
        <v>17</v>
      </c>
      <c r="D34" s="2">
        <v>0</v>
      </c>
      <c r="E34" s="2">
        <v>1</v>
      </c>
      <c r="F34" s="2">
        <v>4</v>
      </c>
      <c r="G34" s="2">
        <v>1</v>
      </c>
      <c r="H34" s="2">
        <v>0</v>
      </c>
      <c r="I34" s="41">
        <v>-19305.303300970889</v>
      </c>
      <c r="J34" s="40" t="s">
        <v>21</v>
      </c>
      <c r="L34" s="1"/>
      <c r="M34" s="1"/>
      <c r="N34" s="1"/>
      <c r="O34" s="1"/>
    </row>
    <row r="35" spans="3:18" x14ac:dyDescent="0.25">
      <c r="C35" s="8" t="s">
        <v>4</v>
      </c>
      <c r="D35" s="2">
        <v>0</v>
      </c>
      <c r="E35" s="2">
        <v>0</v>
      </c>
      <c r="F35" s="2">
        <f>+$H$8/(E*I)+$H$11/(A*G*ks)</f>
        <v>4.0534160983904681E-4</v>
      </c>
      <c r="G35" s="2">
        <f>+$H$12/(E*I)</f>
        <v>1.5087156693761048E-4</v>
      </c>
      <c r="H35" s="3">
        <v>1</v>
      </c>
      <c r="I35" s="6">
        <v>9652.6516504854444</v>
      </c>
      <c r="J35" s="24" t="s">
        <v>24</v>
      </c>
      <c r="L35" s="31"/>
    </row>
    <row r="36" spans="3:18" x14ac:dyDescent="0.25">
      <c r="C36" s="8" t="s">
        <v>0</v>
      </c>
      <c r="D36" s="2">
        <v>0</v>
      </c>
      <c r="E36" s="2">
        <v>0</v>
      </c>
      <c r="F36" s="2">
        <f>+$H$7/(E*I)</f>
        <v>1.5087156693761048E-4</v>
      </c>
      <c r="G36" s="2">
        <f>+$H$11/(E*I)</f>
        <v>7.5435783468805239E-5</v>
      </c>
      <c r="H36" s="2">
        <v>0</v>
      </c>
      <c r="I36" s="6">
        <v>-19305.303300970889</v>
      </c>
      <c r="J36" t="s">
        <v>21</v>
      </c>
      <c r="L36" s="31"/>
      <c r="M36" s="32"/>
    </row>
    <row r="37" spans="3:18" x14ac:dyDescent="0.25">
      <c r="I37" s="14"/>
      <c r="L37" s="31"/>
      <c r="M37" s="31"/>
      <c r="N37" s="31"/>
    </row>
    <row r="38" spans="3:18" x14ac:dyDescent="0.25">
      <c r="C38" s="7"/>
      <c r="D38" s="8" t="s">
        <v>14</v>
      </c>
      <c r="E38" s="8" t="s">
        <v>15</v>
      </c>
      <c r="F38" s="8" t="s">
        <v>13</v>
      </c>
      <c r="G38" s="8" t="s">
        <v>16</v>
      </c>
      <c r="H38" s="7"/>
      <c r="I38" s="7"/>
      <c r="L38" s="31"/>
      <c r="M38" s="31"/>
      <c r="N38" s="31"/>
      <c r="O38" s="31"/>
    </row>
    <row r="39" spans="3:18" x14ac:dyDescent="0.25">
      <c r="C39" s="9" t="s">
        <v>19</v>
      </c>
      <c r="D39" s="15">
        <v>-1</v>
      </c>
      <c r="E39" s="2">
        <v>0</v>
      </c>
      <c r="F39" s="15">
        <v>1</v>
      </c>
      <c r="G39" s="2">
        <v>0</v>
      </c>
      <c r="H39" s="2">
        <v>0</v>
      </c>
      <c r="I39" s="6">
        <f t="array" ref="I39:I42">MMULT(MINVERSE(D39:G42),H39:H42)</f>
        <v>19305.303300970889</v>
      </c>
      <c r="J39" t="s">
        <v>21</v>
      </c>
      <c r="L39" s="31"/>
      <c r="M39" s="32"/>
      <c r="N39" s="31"/>
      <c r="O39" s="31"/>
      <c r="P39" s="31"/>
    </row>
    <row r="40" spans="3:18" x14ac:dyDescent="0.25">
      <c r="C40" s="10" t="s">
        <v>17</v>
      </c>
      <c r="D40" s="2">
        <v>0</v>
      </c>
      <c r="E40" s="2">
        <v>1</v>
      </c>
      <c r="F40" s="2">
        <v>4</v>
      </c>
      <c r="G40" s="2">
        <v>1</v>
      </c>
      <c r="H40" s="2">
        <v>0</v>
      </c>
      <c r="I40" s="29">
        <v>-25354.298335275103</v>
      </c>
      <c r="J40" t="s">
        <v>23</v>
      </c>
      <c r="K40" s="19"/>
      <c r="L40" s="31"/>
      <c r="M40" s="31"/>
      <c r="N40" s="31"/>
      <c r="O40" s="31"/>
      <c r="P40" s="31"/>
      <c r="Q40" s="31"/>
    </row>
    <row r="41" spans="3:18" x14ac:dyDescent="0.25">
      <c r="C41" s="8" t="s">
        <v>4</v>
      </c>
      <c r="D41" s="2">
        <v>0</v>
      </c>
      <c r="E41" s="2">
        <v>0</v>
      </c>
      <c r="F41" s="2">
        <f>+$H$8/(E*I)+$H$11/(A*G*ks)</f>
        <v>4.0534160983904681E-4</v>
      </c>
      <c r="G41" s="2">
        <f>+$H$12/(E*I)</f>
        <v>1.5087156693761048E-4</v>
      </c>
      <c r="H41" s="3">
        <v>0</v>
      </c>
      <c r="I41" s="6">
        <v>19305.303300970889</v>
      </c>
      <c r="J41" t="s">
        <v>21</v>
      </c>
    </row>
    <row r="42" spans="3:18" x14ac:dyDescent="0.25">
      <c r="C42" s="8" t="s">
        <v>0</v>
      </c>
      <c r="D42" s="2">
        <v>0</v>
      </c>
      <c r="E42" s="2">
        <v>0</v>
      </c>
      <c r="F42" s="2">
        <f>+$H$7/(E*I)</f>
        <v>1.5087156693761048E-4</v>
      </c>
      <c r="G42" s="2">
        <f>+$H$11/(E*I)</f>
        <v>7.5435783468805239E-5</v>
      </c>
      <c r="H42" s="2">
        <v>-1</v>
      </c>
      <c r="I42" s="22">
        <v>-51866.914868608452</v>
      </c>
      <c r="J42" t="s">
        <v>22</v>
      </c>
    </row>
    <row r="45" spans="3:18" x14ac:dyDescent="0.25">
      <c r="H45" s="23"/>
      <c r="I45" s="23"/>
      <c r="J45" s="23"/>
    </row>
    <row r="46" spans="3:18" x14ac:dyDescent="0.25">
      <c r="H46" s="42"/>
      <c r="I46" s="23"/>
      <c r="J46" s="23"/>
      <c r="P46" s="36" t="s">
        <v>25</v>
      </c>
      <c r="Q46">
        <v>1582362.0874838301</v>
      </c>
      <c r="R46" s="14" t="e">
        <f>+Q46/I46</f>
        <v>#DIV/0!</v>
      </c>
    </row>
    <row r="47" spans="3:18" x14ac:dyDescent="0.25">
      <c r="C47">
        <v>49.348227247787797</v>
      </c>
      <c r="H47" s="23"/>
      <c r="I47" s="43"/>
      <c r="J47" s="23"/>
      <c r="Q47" s="19">
        <v>0</v>
      </c>
      <c r="R47" s="14"/>
    </row>
    <row r="48" spans="3:18" x14ac:dyDescent="0.25">
      <c r="C48">
        <v>34.560898358061699</v>
      </c>
      <c r="H48" s="42"/>
      <c r="I48" s="23"/>
      <c r="J48" s="23"/>
      <c r="P48" s="39" t="s">
        <v>21</v>
      </c>
      <c r="Q48" s="40">
        <v>-59464.284028129499</v>
      </c>
      <c r="R48" s="14" t="e">
        <f>+Q48/I48</f>
        <v>#DIV/0!</v>
      </c>
    </row>
    <row r="49" spans="3:19" x14ac:dyDescent="0.25">
      <c r="C49">
        <v>17.0050674305573</v>
      </c>
      <c r="H49" s="23"/>
      <c r="I49" s="23"/>
      <c r="J49" s="23"/>
      <c r="Q49" s="24">
        <v>-52468.485907173002</v>
      </c>
      <c r="R49" s="14" t="e">
        <f>+Q49/I49</f>
        <v>#DIV/0!</v>
      </c>
    </row>
    <row r="50" spans="3:19" x14ac:dyDescent="0.25">
      <c r="C50">
        <v>80.651772752212196</v>
      </c>
      <c r="H50" s="23"/>
      <c r="I50" s="43"/>
      <c r="J50" s="23"/>
      <c r="Q50" s="19">
        <v>0</v>
      </c>
      <c r="R50" s="14"/>
    </row>
    <row r="51" spans="3:19" x14ac:dyDescent="0.25">
      <c r="C51">
        <v>45.439101641938301</v>
      </c>
      <c r="H51" s="23"/>
      <c r="I51" s="43"/>
      <c r="J51" s="23"/>
      <c r="Q51" s="19">
        <v>0</v>
      </c>
      <c r="R51" s="14"/>
    </row>
    <row r="52" spans="3:19" x14ac:dyDescent="0.25">
      <c r="C52">
        <v>-38.7614739983104</v>
      </c>
      <c r="H52" s="42"/>
      <c r="I52" s="44"/>
      <c r="J52" s="23"/>
      <c r="Q52">
        <v>-1554378.895</v>
      </c>
      <c r="R52" s="14" t="e">
        <f>+Q52/I52</f>
        <v>#DIV/0!</v>
      </c>
      <c r="S52">
        <f>+Q57+Q46</f>
        <v>1548199.9139673465</v>
      </c>
    </row>
    <row r="53" spans="3:19" x14ac:dyDescent="0.25">
      <c r="H53" s="23"/>
      <c r="I53" s="23"/>
      <c r="J53" s="23"/>
      <c r="P53" s="36" t="s">
        <v>25</v>
      </c>
      <c r="Q53">
        <v>1588541.06851648</v>
      </c>
      <c r="R53" s="14" t="e">
        <f>+Q53/I53</f>
        <v>#DIV/0!</v>
      </c>
    </row>
    <row r="54" spans="3:19" x14ac:dyDescent="0.25">
      <c r="H54" s="42"/>
      <c r="I54" s="23"/>
      <c r="J54" s="23"/>
      <c r="P54" s="37" t="s">
        <v>21</v>
      </c>
      <c r="Q54">
        <v>-68324.347032966994</v>
      </c>
      <c r="R54" s="14" t="e">
        <f>+Q54/I54</f>
        <v>#DIV/0!</v>
      </c>
    </row>
    <row r="55" spans="3:19" x14ac:dyDescent="0.25">
      <c r="H55" s="23"/>
      <c r="I55" s="43"/>
      <c r="J55" s="23"/>
      <c r="Q55" s="19">
        <v>0</v>
      </c>
      <c r="R55" s="14"/>
    </row>
    <row r="56" spans="3:19" x14ac:dyDescent="0.25">
      <c r="H56" s="42"/>
      <c r="I56" s="23"/>
      <c r="J56" s="23"/>
      <c r="P56" s="37" t="s">
        <v>21</v>
      </c>
      <c r="Q56">
        <v>-68324.347032966994</v>
      </c>
      <c r="R56" s="14" t="e">
        <f>+Q56/I56</f>
        <v>#DIV/0!</v>
      </c>
    </row>
    <row r="57" spans="3:19" x14ac:dyDescent="0.25">
      <c r="H57" s="42"/>
      <c r="I57" s="23"/>
      <c r="J57" s="23"/>
      <c r="P57" s="34" t="s">
        <v>24</v>
      </c>
      <c r="Q57">
        <v>-34162.173516483497</v>
      </c>
      <c r="R57" s="14" t="e">
        <f>+Q57/I57</f>
        <v>#DIV/0!</v>
      </c>
    </row>
    <row r="58" spans="3:19" x14ac:dyDescent="0.25">
      <c r="H58" s="23"/>
      <c r="I58" s="43"/>
      <c r="J58" s="23"/>
      <c r="Q58" s="19">
        <v>0</v>
      </c>
      <c r="R58" s="14"/>
    </row>
    <row r="59" spans="3:19" x14ac:dyDescent="0.25">
      <c r="H59" s="42"/>
      <c r="I59" s="23"/>
      <c r="J59" s="23"/>
      <c r="P59" s="35" t="s">
        <v>22</v>
      </c>
      <c r="Q59">
        <v>334561.07215745503</v>
      </c>
      <c r="R59" s="14" t="e">
        <f>+Q59/I59</f>
        <v>#DIV/0!</v>
      </c>
      <c r="S59">
        <f>+Q59/2</f>
        <v>167280.53607872751</v>
      </c>
    </row>
    <row r="60" spans="3:19" x14ac:dyDescent="0.25">
      <c r="H60" s="42"/>
      <c r="I60" s="23"/>
      <c r="J60" s="23"/>
      <c r="P60" s="38" t="s">
        <v>23</v>
      </c>
      <c r="Q60">
        <v>76953.779330520498</v>
      </c>
      <c r="R60" s="14" t="e">
        <f>+Q60/I60</f>
        <v>#DIV/0!</v>
      </c>
    </row>
    <row r="61" spans="3:19" x14ac:dyDescent="0.25">
      <c r="H61" s="23"/>
      <c r="I61" s="23"/>
      <c r="J61" s="23"/>
      <c r="Q61">
        <v>99639.672756410204</v>
      </c>
      <c r="R61" s="14" t="e">
        <f>+Q61/I61</f>
        <v>#DIV/0!</v>
      </c>
    </row>
    <row r="62" spans="3:19" x14ac:dyDescent="0.25">
      <c r="H62" s="23"/>
      <c r="I62" s="23"/>
      <c r="J62" s="23"/>
      <c r="Q62">
        <v>68324.347032966994</v>
      </c>
      <c r="R62" s="14" t="e">
        <f>+Q62/I62</f>
        <v>#DIV/0!</v>
      </c>
    </row>
    <row r="63" spans="3:19" x14ac:dyDescent="0.25">
      <c r="H63" s="23"/>
      <c r="I63" s="43"/>
      <c r="J63" s="23"/>
      <c r="Q63" s="19">
        <v>0</v>
      </c>
      <c r="R63" s="14"/>
    </row>
    <row r="64" spans="3:19" x14ac:dyDescent="0.25">
      <c r="H64" s="42"/>
      <c r="I64" s="23"/>
      <c r="J64" s="23"/>
      <c r="P64" s="35" t="s">
        <v>22</v>
      </c>
      <c r="Q64">
        <v>132920.16429817199</v>
      </c>
      <c r="R64" s="14" t="e">
        <f>+Q64/I64</f>
        <v>#DIV/0!</v>
      </c>
    </row>
    <row r="65" spans="8:18" x14ac:dyDescent="0.25">
      <c r="H65" s="23"/>
      <c r="I65" s="23"/>
      <c r="J65" s="23"/>
      <c r="Q65">
        <v>132920.16429817199</v>
      </c>
      <c r="R65" s="14" t="e">
        <f>+Q65/I65</f>
        <v>#DIV/0!</v>
      </c>
    </row>
    <row r="66" spans="8:18" x14ac:dyDescent="0.25">
      <c r="H66" s="23"/>
      <c r="I66" s="23"/>
      <c r="J66" s="23"/>
      <c r="Q66">
        <v>52468.485907173097</v>
      </c>
      <c r="R66" s="14" t="e">
        <f>+Q66/I66</f>
        <v>#DIV/0!</v>
      </c>
    </row>
    <row r="67" spans="8:18" x14ac:dyDescent="0.25">
      <c r="H67" s="23"/>
      <c r="I67" s="23"/>
      <c r="J67" s="23"/>
      <c r="Q67">
        <v>76953.779330520498</v>
      </c>
      <c r="R67" s="14" t="e">
        <f>+Q67/I67</f>
        <v>#DIV/0!</v>
      </c>
    </row>
    <row r="68" spans="8:18" x14ac:dyDescent="0.25">
      <c r="H68" s="23"/>
      <c r="I68" s="43"/>
      <c r="J68" s="23"/>
      <c r="Q68" s="19">
        <v>0</v>
      </c>
      <c r="R68" s="14"/>
    </row>
    <row r="69" spans="8:18" x14ac:dyDescent="0.25">
      <c r="H69" s="23"/>
      <c r="I69" s="23"/>
      <c r="J69" s="23"/>
      <c r="Q69">
        <v>-52468.485907173097</v>
      </c>
      <c r="R69" s="14" t="e">
        <f>+Q69/I69</f>
        <v>#DIV/0!</v>
      </c>
    </row>
    <row r="70" spans="8:18" x14ac:dyDescent="0.25">
      <c r="H70" s="23"/>
      <c r="I70" s="23"/>
      <c r="J70" s="23"/>
      <c r="Q70">
        <v>27983.192483825602</v>
      </c>
      <c r="R70" s="14" t="e">
        <f>+Q70/I70</f>
        <v>#DIV/0!</v>
      </c>
    </row>
    <row r="71" spans="8:18" x14ac:dyDescent="0.25">
      <c r="H71" s="23"/>
      <c r="I71" s="23"/>
      <c r="J71" s="23"/>
      <c r="Q71">
        <v>59464.284028129499</v>
      </c>
      <c r="R71" s="14" t="e">
        <f>+Q71/I71</f>
        <v>#DIV/0!</v>
      </c>
    </row>
    <row r="72" spans="8:18" x14ac:dyDescent="0.25">
      <c r="H72" s="23"/>
      <c r="I72" s="43"/>
      <c r="J72" s="23"/>
      <c r="Q72" s="19">
        <v>0</v>
      </c>
      <c r="R72" s="14"/>
    </row>
    <row r="73" spans="8:18" x14ac:dyDescent="0.25">
      <c r="H73" s="23"/>
      <c r="I73" s="23"/>
      <c r="J73" s="23"/>
      <c r="Q73">
        <v>-27983.192483825602</v>
      </c>
      <c r="R73" s="14" t="e">
        <f>+Q73/I73</f>
        <v>#DIV/0!</v>
      </c>
    </row>
    <row r="74" spans="8:18" x14ac:dyDescent="0.25">
      <c r="H74" s="23"/>
      <c r="I74" s="23"/>
      <c r="J74" s="23"/>
      <c r="Q74">
        <v>334561.07215745503</v>
      </c>
      <c r="R74" s="14" t="e">
        <f>+Q74/I74</f>
        <v>#DIV/0!</v>
      </c>
    </row>
    <row r="75" spans="8:18" x14ac:dyDescent="0.25">
      <c r="H75" s="23"/>
      <c r="I75" s="23"/>
      <c r="J75" s="23"/>
      <c r="Q75">
        <v>68324.347032966994</v>
      </c>
      <c r="R75" s="14" t="e">
        <f>+Q75/I75</f>
        <v>#DIV/0!</v>
      </c>
    </row>
    <row r="76" spans="8:18" x14ac:dyDescent="0.25">
      <c r="H76" s="23"/>
      <c r="I76" s="23"/>
      <c r="J76" s="23"/>
      <c r="Q76">
        <v>-59464.284028129499</v>
      </c>
      <c r="R76" s="14" t="e">
        <f>+Q76/I76</f>
        <v>#DIV/0!</v>
      </c>
    </row>
    <row r="77" spans="8:18" x14ac:dyDescent="0.25">
      <c r="H77" s="23"/>
      <c r="I77" s="23"/>
      <c r="J77" s="23"/>
      <c r="Q77">
        <v>1588541.06851648</v>
      </c>
      <c r="R77" s="14" t="e">
        <f>+Q77/I77</f>
        <v>#DIV/0!</v>
      </c>
    </row>
    <row r="78" spans="8:18" x14ac:dyDescent="0.25">
      <c r="H78" s="23"/>
      <c r="I78" s="43"/>
      <c r="J78" s="23"/>
      <c r="Q78" s="19">
        <v>0</v>
      </c>
      <c r="R78" s="14"/>
    </row>
    <row r="79" spans="8:18" x14ac:dyDescent="0.25">
      <c r="H79" s="23"/>
      <c r="I79" s="23"/>
      <c r="J79" s="23"/>
      <c r="Q79">
        <v>1582362.0874838301</v>
      </c>
      <c r="R79" s="14" t="e">
        <f>+Q79/I79</f>
        <v>#DIV/0!</v>
      </c>
    </row>
    <row r="80" spans="8:18" x14ac:dyDescent="0.25">
      <c r="H80" s="23"/>
      <c r="I80" s="23"/>
      <c r="J80" s="23"/>
    </row>
    <row r="81" spans="11:11" x14ac:dyDescent="0.25">
      <c r="K81" s="19"/>
    </row>
    <row r="82" spans="11:11" x14ac:dyDescent="0.25">
      <c r="K82" s="19"/>
    </row>
    <row r="83" spans="11:11" x14ac:dyDescent="0.25">
      <c r="K83" s="19"/>
    </row>
    <row r="85" spans="11:11" x14ac:dyDescent="0.25">
      <c r="K85" s="19"/>
    </row>
    <row r="87" spans="11:11" x14ac:dyDescent="0.25">
      <c r="K87" s="19"/>
    </row>
    <row r="89" spans="11:11" x14ac:dyDescent="0.25">
      <c r="K89" s="19"/>
    </row>
    <row r="90" spans="11:11" x14ac:dyDescent="0.25">
      <c r="K90" s="19"/>
    </row>
    <row r="91" spans="11:11" x14ac:dyDescent="0.25">
      <c r="K91" s="19"/>
    </row>
    <row r="92" spans="11:11" x14ac:dyDescent="0.25">
      <c r="K92" s="19"/>
    </row>
    <row r="93" spans="11:11" x14ac:dyDescent="0.25">
      <c r="K93" s="19"/>
    </row>
    <row r="95" spans="11:11" x14ac:dyDescent="0.25">
      <c r="K95" s="19"/>
    </row>
    <row r="96" spans="11:11" x14ac:dyDescent="0.25">
      <c r="K96" s="19"/>
    </row>
    <row r="98" spans="11:11" x14ac:dyDescent="0.25">
      <c r="K98" s="19"/>
    </row>
    <row r="99" spans="11:11" x14ac:dyDescent="0.25">
      <c r="K99" s="19"/>
    </row>
    <row r="100" spans="11:11" x14ac:dyDescent="0.25">
      <c r="K100" s="19"/>
    </row>
    <row r="102" spans="11:11" x14ac:dyDescent="0.25">
      <c r="K102" s="19"/>
    </row>
    <row r="104" spans="11:11" x14ac:dyDescent="0.25">
      <c r="K104" s="19"/>
    </row>
    <row r="106" spans="11:11" x14ac:dyDescent="0.25">
      <c r="K106" s="19"/>
    </row>
    <row r="108" spans="11:11" x14ac:dyDescent="0.25">
      <c r="K108" s="19"/>
    </row>
    <row r="109" spans="11:11" x14ac:dyDescent="0.25">
      <c r="K109" s="19"/>
    </row>
    <row r="110" spans="11:11" x14ac:dyDescent="0.25">
      <c r="K110" s="19"/>
    </row>
    <row r="113" spans="11:11" x14ac:dyDescent="0.25">
      <c r="K113" s="19"/>
    </row>
    <row r="114" spans="11:11" x14ac:dyDescent="0.25">
      <c r="K114" s="19"/>
    </row>
    <row r="115" spans="11:11" x14ac:dyDescent="0.25">
      <c r="K115" s="19"/>
    </row>
    <row r="116" spans="11:11" x14ac:dyDescent="0.25">
      <c r="K116" s="19"/>
    </row>
    <row r="117" spans="11:11" x14ac:dyDescent="0.25">
      <c r="K117" s="19"/>
    </row>
    <row r="119" spans="11:11" x14ac:dyDescent="0.25">
      <c r="K119" s="19"/>
    </row>
    <row r="120" spans="11:11" x14ac:dyDescent="0.25">
      <c r="K120" s="19"/>
    </row>
    <row r="121" spans="11:11" x14ac:dyDescent="0.25">
      <c r="K121" s="19"/>
    </row>
    <row r="124" spans="11:11" x14ac:dyDescent="0.25">
      <c r="K124" s="19"/>
    </row>
    <row r="126" spans="11:11" x14ac:dyDescent="0.25">
      <c r="K126" s="19"/>
    </row>
    <row r="128" spans="11:11" x14ac:dyDescent="0.25">
      <c r="K128" s="19"/>
    </row>
    <row r="129" spans="11:11" x14ac:dyDescent="0.25">
      <c r="K129" s="19"/>
    </row>
    <row r="131" spans="11:11" x14ac:dyDescent="0.25">
      <c r="K131" s="19"/>
    </row>
  </sheetData>
  <mergeCells count="8">
    <mergeCell ref="D2:E2"/>
    <mergeCell ref="D6:E6"/>
    <mergeCell ref="D10:E10"/>
    <mergeCell ref="D1:E1"/>
    <mergeCell ref="G1:H1"/>
    <mergeCell ref="G2:H2"/>
    <mergeCell ref="G6:H6"/>
    <mergeCell ref="G10:H10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36B1-CFC3-40F0-A59C-4A3F0D7AF62D}">
  <dimension ref="D28"/>
  <sheetViews>
    <sheetView tabSelected="1" workbookViewId="0">
      <selection activeCell="G30" sqref="G30"/>
    </sheetView>
  </sheetViews>
  <sheetFormatPr baseColWidth="10" defaultRowHeight="15" x14ac:dyDescent="0.25"/>
  <sheetData>
    <row r="28" spans="4:4" x14ac:dyDescent="0.25">
      <c r="D28">
        <f>4700*SQRT(28)*1000</f>
        <v>24870062.324007154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1DEFD-A1C2-42BF-81F3-DEFA65A5F264}">
  <dimension ref="C2:F43"/>
  <sheetViews>
    <sheetView workbookViewId="0">
      <selection activeCell="G7" sqref="G7"/>
    </sheetView>
  </sheetViews>
  <sheetFormatPr baseColWidth="10" defaultRowHeight="15" x14ac:dyDescent="0.25"/>
  <sheetData>
    <row r="2" spans="3:6" x14ac:dyDescent="0.25">
      <c r="C2" s="2" t="s">
        <v>26</v>
      </c>
      <c r="D2" s="2" t="s">
        <v>29</v>
      </c>
      <c r="E2" s="2" t="s">
        <v>27</v>
      </c>
      <c r="F2" s="2" t="s">
        <v>28</v>
      </c>
    </row>
    <row r="3" spans="3:6" x14ac:dyDescent="0.25">
      <c r="C3" s="2">
        <v>0</v>
      </c>
      <c r="D3" s="2">
        <f>243/160 - (3*(C3 - 9/4)^2)/10</f>
        <v>0</v>
      </c>
      <c r="E3" s="6">
        <f>-((3*C3)/5 - 27/20)/(((3*C3)/5 - 27/20)^2 + 1)^(1/2)</f>
        <v>0.80355719334474573</v>
      </c>
      <c r="F3" s="6">
        <f>1/(((3*C3)/5 - 27/20)^2 + 1)^(1/2)</f>
        <v>0.59522755062573751</v>
      </c>
    </row>
    <row r="4" spans="3:6" x14ac:dyDescent="0.25">
      <c r="C4" s="2">
        <v>0.1</v>
      </c>
      <c r="D4" s="2">
        <f t="shared" ref="D4:D43" si="0">243/160 - (3*(C4 - 9/4)^2)/10</f>
        <v>0.13200000000000012</v>
      </c>
      <c r="E4" s="6">
        <f t="shared" ref="E4:E43" si="1">-((3*C4)/5 - 27/20)/(((3*C4)/5 - 27/20)^2 + 1)^(1/2)</f>
        <v>0.79034088516472389</v>
      </c>
      <c r="F4" s="6">
        <f>1/(((3*C4)/5 - 27/20)^2 + 1)^(1/2)</f>
        <v>0.61266735284087115</v>
      </c>
    </row>
    <row r="5" spans="3:6" x14ac:dyDescent="0.25">
      <c r="C5" s="2">
        <v>0.2</v>
      </c>
      <c r="D5" s="2">
        <f t="shared" si="0"/>
        <v>0.25800000000000023</v>
      </c>
      <c r="E5" s="6">
        <f t="shared" si="1"/>
        <v>0.77592100399017749</v>
      </c>
      <c r="F5" s="6">
        <f t="shared" ref="F5:F43" si="2">1/(((3*C5)/5 - 27/20)^2 + 1)^(1/2)</f>
        <v>0.63083008454485978</v>
      </c>
    </row>
    <row r="6" spans="3:6" x14ac:dyDescent="0.25">
      <c r="C6" s="2">
        <v>0.3</v>
      </c>
      <c r="D6" s="2">
        <f t="shared" si="0"/>
        <v>0.37800000000000011</v>
      </c>
      <c r="E6" s="6">
        <f t="shared" si="1"/>
        <v>0.76017310083364276</v>
      </c>
      <c r="F6" s="6">
        <f t="shared" si="2"/>
        <v>0.6497205990031133</v>
      </c>
    </row>
    <row r="7" spans="3:6" x14ac:dyDescent="0.25">
      <c r="C7" s="2">
        <v>0.4</v>
      </c>
      <c r="D7" s="2">
        <f t="shared" si="0"/>
        <v>0.49199999999999977</v>
      </c>
      <c r="E7" s="6">
        <f t="shared" si="1"/>
        <v>0.74296123602436093</v>
      </c>
      <c r="F7" s="6">
        <f t="shared" si="2"/>
        <v>0.66933444686879362</v>
      </c>
    </row>
    <row r="8" spans="3:6" x14ac:dyDescent="0.25">
      <c r="C8" s="2">
        <v>0.5</v>
      </c>
      <c r="D8" s="2">
        <f t="shared" si="0"/>
        <v>0.60000000000000009</v>
      </c>
      <c r="E8" s="6">
        <f t="shared" si="1"/>
        <v>0.72413793103448276</v>
      </c>
      <c r="F8" s="6">
        <f t="shared" si="2"/>
        <v>0.68965517241379315</v>
      </c>
    </row>
    <row r="9" spans="3:6" x14ac:dyDescent="0.25">
      <c r="C9" s="2">
        <v>0.6</v>
      </c>
      <c r="D9" s="2">
        <f t="shared" si="0"/>
        <v>0.70200000000000018</v>
      </c>
      <c r="E9" s="6">
        <f t="shared" si="1"/>
        <v>0.70354459792010515</v>
      </c>
      <c r="F9" s="6">
        <f t="shared" si="2"/>
        <v>0.71065110901020723</v>
      </c>
    </row>
    <row r="10" spans="3:6" x14ac:dyDescent="0.25">
      <c r="C10" s="2">
        <v>0.7</v>
      </c>
      <c r="D10" s="2">
        <f t="shared" si="0"/>
        <v>0.79799999999999993</v>
      </c>
      <c r="E10" s="6">
        <f t="shared" si="1"/>
        <v>0.68101264207886958</v>
      </c>
      <c r="F10" s="6">
        <f t="shared" si="2"/>
        <v>0.73227165814932194</v>
      </c>
    </row>
    <row r="11" spans="3:6" x14ac:dyDescent="0.25">
      <c r="C11" s="2">
        <v>0.8</v>
      </c>
      <c r="D11" s="2">
        <f t="shared" si="0"/>
        <v>0.88800000000000001</v>
      </c>
      <c r="E11" s="6">
        <f t="shared" si="1"/>
        <v>0.65636547836261183</v>
      </c>
      <c r="F11" s="6">
        <f t="shared" si="2"/>
        <v>0.75444307857771475</v>
      </c>
    </row>
    <row r="12" spans="3:6" x14ac:dyDescent="0.25">
      <c r="C12" s="2">
        <v>0.9</v>
      </c>
      <c r="D12" s="2">
        <f t="shared" si="0"/>
        <v>0.97199999999999998</v>
      </c>
      <c r="E12" s="6">
        <f t="shared" si="1"/>
        <v>0.62942174156946673</v>
      </c>
      <c r="F12" s="6">
        <f t="shared" si="2"/>
        <v>0.77706387848082314</v>
      </c>
    </row>
    <row r="13" spans="3:6" x14ac:dyDescent="0.25">
      <c r="C13" s="2">
        <v>1</v>
      </c>
      <c r="D13" s="2">
        <f t="shared" si="0"/>
        <v>1.05</v>
      </c>
      <c r="E13" s="6">
        <f t="shared" si="1"/>
        <v>0.60000000000000009</v>
      </c>
      <c r="F13" s="6">
        <f t="shared" si="2"/>
        <v>0.8</v>
      </c>
    </row>
    <row r="14" spans="3:6" x14ac:dyDescent="0.25">
      <c r="C14" s="2">
        <v>1.1000000000000001</v>
      </c>
      <c r="D14" s="2">
        <f t="shared" si="0"/>
        <v>1.1220000000000001</v>
      </c>
      <c r="E14" s="6">
        <f t="shared" si="1"/>
        <v>0.56792527973812335</v>
      </c>
      <c r="F14" s="6">
        <f t="shared" si="2"/>
        <v>0.82308011556249749</v>
      </c>
    </row>
    <row r="15" spans="3:6" x14ac:dyDescent="0.25">
      <c r="C15" s="2">
        <v>1.2</v>
      </c>
      <c r="D15" s="2">
        <f t="shared" si="0"/>
        <v>1.1880000000000002</v>
      </c>
      <c r="E15" s="6">
        <f t="shared" si="1"/>
        <v>0.53303765636452405</v>
      </c>
      <c r="F15" s="6">
        <f t="shared" si="2"/>
        <v>0.8460915180389269</v>
      </c>
    </row>
    <row r="16" spans="3:6" x14ac:dyDescent="0.25">
      <c r="C16" s="2">
        <v>1.3</v>
      </c>
      <c r="D16" s="2">
        <f t="shared" si="0"/>
        <v>1.248</v>
      </c>
      <c r="E16" s="6">
        <f t="shared" si="1"/>
        <v>0.49520304400981674</v>
      </c>
      <c r="F16" s="6">
        <f t="shared" si="2"/>
        <v>0.86877727019266082</v>
      </c>
    </row>
    <row r="17" spans="3:6" x14ac:dyDescent="0.25">
      <c r="C17" s="2">
        <v>1.4</v>
      </c>
      <c r="D17" s="2">
        <f t="shared" si="0"/>
        <v>1.302</v>
      </c>
      <c r="E17" s="6">
        <f t="shared" si="1"/>
        <v>0.45432608279601261</v>
      </c>
      <c r="F17" s="6">
        <f t="shared" si="2"/>
        <v>0.8908354564627694</v>
      </c>
    </row>
    <row r="18" spans="3:6" x14ac:dyDescent="0.25">
      <c r="C18" s="2">
        <v>1.5</v>
      </c>
      <c r="D18" s="2">
        <f t="shared" si="0"/>
        <v>1.35</v>
      </c>
      <c r="E18" s="6">
        <f t="shared" si="1"/>
        <v>0.41036467732879789</v>
      </c>
      <c r="F18" s="6">
        <f t="shared" si="2"/>
        <v>0.91192150517510628</v>
      </c>
    </row>
    <row r="19" spans="3:6" x14ac:dyDescent="0.25">
      <c r="C19" s="2">
        <v>1.6</v>
      </c>
      <c r="D19" s="2">
        <f t="shared" si="0"/>
        <v>1.3920000000000001</v>
      </c>
      <c r="E19" s="6">
        <f t="shared" si="1"/>
        <v>0.36334527649164383</v>
      </c>
      <c r="F19" s="6">
        <f t="shared" si="2"/>
        <v>0.9316545551067793</v>
      </c>
    </row>
    <row r="20" spans="3:6" x14ac:dyDescent="0.25">
      <c r="C20" s="2">
        <v>1.7</v>
      </c>
      <c r="D20" s="2">
        <f t="shared" si="0"/>
        <v>1.4279999999999999</v>
      </c>
      <c r="E20" s="6">
        <f t="shared" si="1"/>
        <v>0.3133774542039019</v>
      </c>
      <c r="F20" s="6">
        <f t="shared" si="2"/>
        <v>0.94962864910273281</v>
      </c>
    </row>
    <row r="21" spans="3:6" x14ac:dyDescent="0.25">
      <c r="C21" s="2">
        <v>1.8</v>
      </c>
      <c r="D21" s="2">
        <f t="shared" si="0"/>
        <v>1.458</v>
      </c>
      <c r="E21" s="6">
        <f t="shared" si="1"/>
        <v>0.26066585229076455</v>
      </c>
      <c r="F21" s="6">
        <f t="shared" si="2"/>
        <v>0.96542908255838722</v>
      </c>
    </row>
    <row r="22" spans="3:6" x14ac:dyDescent="0.25">
      <c r="C22" s="2">
        <v>1.9</v>
      </c>
      <c r="D22" s="2">
        <f t="shared" si="0"/>
        <v>1.482</v>
      </c>
      <c r="E22" s="6">
        <f t="shared" si="1"/>
        <v>0.205517234286414</v>
      </c>
      <c r="F22" s="6">
        <f t="shared" si="2"/>
        <v>0.97865349660197054</v>
      </c>
    </row>
    <row r="23" spans="3:6" x14ac:dyDescent="0.25">
      <c r="C23" s="2">
        <v>2</v>
      </c>
      <c r="D23" s="2">
        <f t="shared" si="0"/>
        <v>1.5</v>
      </c>
      <c r="E23" s="6">
        <f t="shared" si="1"/>
        <v>0.14834045293024475</v>
      </c>
      <c r="F23" s="6">
        <f t="shared" si="2"/>
        <v>0.98893635286829751</v>
      </c>
    </row>
    <row r="24" spans="3:6" x14ac:dyDescent="0.25">
      <c r="C24" s="2">
        <v>2.1</v>
      </c>
      <c r="D24" s="2">
        <f t="shared" si="0"/>
        <v>1.512</v>
      </c>
      <c r="E24" s="6">
        <f t="shared" si="1"/>
        <v>8.9637699495890441E-2</v>
      </c>
      <c r="F24" s="6">
        <f t="shared" si="2"/>
        <v>0.99597443884322867</v>
      </c>
    </row>
    <row r="25" spans="3:6" x14ac:dyDescent="0.25">
      <c r="C25" s="2">
        <v>2.2000000000000002</v>
      </c>
      <c r="D25" s="2">
        <f t="shared" si="0"/>
        <v>1.518</v>
      </c>
      <c r="E25" s="6">
        <f t="shared" si="1"/>
        <v>2.9986509105671032E-2</v>
      </c>
      <c r="F25" s="6">
        <f t="shared" si="2"/>
        <v>0.99955030352236685</v>
      </c>
    </row>
    <row r="26" spans="3:6" x14ac:dyDescent="0.25">
      <c r="C26" s="2">
        <v>2.2999999999999998</v>
      </c>
      <c r="D26" s="2">
        <f t="shared" si="0"/>
        <v>1.518</v>
      </c>
      <c r="E26" s="6">
        <f t="shared" si="1"/>
        <v>-2.998650910567081E-2</v>
      </c>
      <c r="F26" s="6">
        <f t="shared" si="2"/>
        <v>0.99955030352236685</v>
      </c>
    </row>
    <row r="27" spans="3:6" x14ac:dyDescent="0.25">
      <c r="C27" s="2">
        <v>2.4</v>
      </c>
      <c r="D27" s="2">
        <f t="shared" si="0"/>
        <v>1.512</v>
      </c>
      <c r="E27" s="6">
        <f t="shared" si="1"/>
        <v>-8.9637699495890441E-2</v>
      </c>
      <c r="F27" s="6">
        <f t="shared" si="2"/>
        <v>0.99597443884322867</v>
      </c>
    </row>
    <row r="28" spans="3:6" x14ac:dyDescent="0.25">
      <c r="C28" s="2">
        <v>2.5</v>
      </c>
      <c r="D28" s="2">
        <f t="shared" si="0"/>
        <v>1.5</v>
      </c>
      <c r="E28" s="6">
        <f t="shared" si="1"/>
        <v>-0.14834045293024453</v>
      </c>
      <c r="F28" s="6">
        <f t="shared" si="2"/>
        <v>0.98893635286829751</v>
      </c>
    </row>
    <row r="29" spans="3:6" x14ac:dyDescent="0.25">
      <c r="C29" s="2">
        <v>2.6</v>
      </c>
      <c r="D29" s="2">
        <f t="shared" si="0"/>
        <v>1.482</v>
      </c>
      <c r="E29" s="6">
        <f t="shared" si="1"/>
        <v>-0.20551723428641377</v>
      </c>
      <c r="F29" s="6">
        <f t="shared" si="2"/>
        <v>0.97865349660197054</v>
      </c>
    </row>
    <row r="30" spans="3:6" x14ac:dyDescent="0.25">
      <c r="C30" s="2">
        <v>2.7</v>
      </c>
      <c r="D30" s="2">
        <f t="shared" si="0"/>
        <v>1.458</v>
      </c>
      <c r="E30" s="6">
        <f t="shared" si="1"/>
        <v>-0.26066585229076478</v>
      </c>
      <c r="F30" s="6">
        <f t="shared" si="2"/>
        <v>0.96542908255838722</v>
      </c>
    </row>
    <row r="31" spans="3:6" x14ac:dyDescent="0.25">
      <c r="C31" s="2">
        <v>2.8</v>
      </c>
      <c r="D31" s="2">
        <f t="shared" si="0"/>
        <v>1.4280000000000002</v>
      </c>
      <c r="E31" s="6">
        <f t="shared" si="1"/>
        <v>-0.31337745420390156</v>
      </c>
      <c r="F31" s="6">
        <f t="shared" si="2"/>
        <v>0.94962864910273304</v>
      </c>
    </row>
    <row r="32" spans="3:6" x14ac:dyDescent="0.25">
      <c r="C32" s="2">
        <v>2.9</v>
      </c>
      <c r="D32" s="2">
        <f t="shared" si="0"/>
        <v>1.3920000000000001</v>
      </c>
      <c r="E32" s="6">
        <f t="shared" si="1"/>
        <v>-0.36334527649164367</v>
      </c>
      <c r="F32" s="6">
        <f t="shared" si="2"/>
        <v>0.9316545551067793</v>
      </c>
    </row>
    <row r="33" spans="3:6" x14ac:dyDescent="0.25">
      <c r="C33" s="2">
        <v>3</v>
      </c>
      <c r="D33" s="2">
        <f t="shared" si="0"/>
        <v>1.35</v>
      </c>
      <c r="E33" s="6">
        <f t="shared" si="1"/>
        <v>-0.41036467732879789</v>
      </c>
      <c r="F33" s="6">
        <f t="shared" si="2"/>
        <v>0.91192150517510651</v>
      </c>
    </row>
    <row r="34" spans="3:6" x14ac:dyDescent="0.25">
      <c r="C34" s="2">
        <v>3.1</v>
      </c>
      <c r="D34" s="2">
        <f t="shared" si="0"/>
        <v>1.302</v>
      </c>
      <c r="E34" s="6">
        <f t="shared" si="1"/>
        <v>-0.45432608279601244</v>
      </c>
      <c r="F34" s="6">
        <f t="shared" si="2"/>
        <v>0.8908354564627694</v>
      </c>
    </row>
    <row r="35" spans="3:6" x14ac:dyDescent="0.25">
      <c r="C35" s="2">
        <v>3.2</v>
      </c>
      <c r="D35" s="2">
        <f t="shared" si="0"/>
        <v>1.248</v>
      </c>
      <c r="E35" s="6">
        <f t="shared" si="1"/>
        <v>-0.4952030440098168</v>
      </c>
      <c r="F35" s="6">
        <f t="shared" si="2"/>
        <v>0.8687772701926606</v>
      </c>
    </row>
    <row r="36" spans="3:6" x14ac:dyDescent="0.25">
      <c r="C36" s="2">
        <v>3.3</v>
      </c>
      <c r="D36" s="2">
        <f t="shared" si="0"/>
        <v>1.1880000000000002</v>
      </c>
      <c r="E36" s="6">
        <f t="shared" si="1"/>
        <v>-0.53303765636452372</v>
      </c>
      <c r="F36" s="6">
        <f t="shared" si="2"/>
        <v>0.84609151803892702</v>
      </c>
    </row>
    <row r="37" spans="3:6" x14ac:dyDescent="0.25">
      <c r="C37" s="2">
        <v>3.4</v>
      </c>
      <c r="D37" s="2">
        <f t="shared" si="0"/>
        <v>1.1220000000000001</v>
      </c>
      <c r="E37" s="6">
        <f t="shared" si="1"/>
        <v>-0.56792527973812323</v>
      </c>
      <c r="F37" s="6">
        <f t="shared" si="2"/>
        <v>0.82308011556249749</v>
      </c>
    </row>
    <row r="38" spans="3:6" x14ac:dyDescent="0.25">
      <c r="C38" s="2">
        <v>3.5</v>
      </c>
      <c r="D38" s="2">
        <f t="shared" si="0"/>
        <v>1.05</v>
      </c>
      <c r="E38" s="6">
        <f t="shared" si="1"/>
        <v>-0.6</v>
      </c>
      <c r="F38" s="6">
        <f t="shared" si="2"/>
        <v>0.8</v>
      </c>
    </row>
    <row r="39" spans="3:6" x14ac:dyDescent="0.25">
      <c r="C39" s="2">
        <v>3.6</v>
      </c>
      <c r="D39" s="2">
        <f t="shared" si="0"/>
        <v>0.97199999999999998</v>
      </c>
      <c r="E39" s="6">
        <f t="shared" si="1"/>
        <v>-0.62942174156946673</v>
      </c>
      <c r="F39" s="6">
        <f t="shared" si="2"/>
        <v>0.77706387848082314</v>
      </c>
    </row>
    <row r="40" spans="3:6" x14ac:dyDescent="0.25">
      <c r="C40" s="2">
        <v>3.7</v>
      </c>
      <c r="D40" s="2">
        <f t="shared" si="0"/>
        <v>0.8879999999999999</v>
      </c>
      <c r="E40" s="6">
        <f t="shared" si="1"/>
        <v>-0.65636547836261183</v>
      </c>
      <c r="F40" s="6">
        <f t="shared" si="2"/>
        <v>0.75444307857771464</v>
      </c>
    </row>
    <row r="41" spans="3:6" x14ac:dyDescent="0.25">
      <c r="C41" s="2">
        <v>3.8</v>
      </c>
      <c r="D41" s="2">
        <f t="shared" si="0"/>
        <v>0.79800000000000026</v>
      </c>
      <c r="E41" s="6">
        <f t="shared" si="1"/>
        <v>-0.68101264207886947</v>
      </c>
      <c r="F41" s="6">
        <f t="shared" si="2"/>
        <v>0.73227165814932216</v>
      </c>
    </row>
    <row r="42" spans="3:6" x14ac:dyDescent="0.25">
      <c r="C42" s="2">
        <v>3.9</v>
      </c>
      <c r="D42" s="2">
        <f t="shared" si="0"/>
        <v>0.70200000000000018</v>
      </c>
      <c r="E42" s="6">
        <f t="shared" si="1"/>
        <v>-0.70354459792010504</v>
      </c>
      <c r="F42" s="6">
        <f t="shared" si="2"/>
        <v>0.71065110901020734</v>
      </c>
    </row>
    <row r="43" spans="3:6" x14ac:dyDescent="0.25">
      <c r="C43" s="2">
        <v>4</v>
      </c>
      <c r="D43" s="2">
        <f t="shared" si="0"/>
        <v>0.60000000000000009</v>
      </c>
      <c r="E43" s="6">
        <f t="shared" si="1"/>
        <v>-0.72413793103448265</v>
      </c>
      <c r="F43" s="6">
        <f t="shared" si="2"/>
        <v>0.68965517241379315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11</vt:i4>
      </vt:variant>
    </vt:vector>
  </HeadingPairs>
  <TitlesOfParts>
    <vt:vector size="14" baseType="lpstr">
      <vt:lpstr>Hoja1</vt:lpstr>
      <vt:lpstr>Hoja2</vt:lpstr>
      <vt:lpstr>Hoja3</vt:lpstr>
      <vt:lpstr>A</vt:lpstr>
      <vt:lpstr>E</vt:lpstr>
      <vt:lpstr>G</vt:lpstr>
      <vt:lpstr>I</vt:lpstr>
      <vt:lpstr>ks</vt:lpstr>
      <vt:lpstr>L</vt:lpstr>
      <vt:lpstr>la</vt:lpstr>
      <vt:lpstr>lb</vt:lpstr>
      <vt:lpstr>w</vt:lpstr>
      <vt:lpstr>za</vt:lpstr>
      <vt:lpstr>zb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</cp:lastModifiedBy>
  <cp:lastPrinted>2021-05-08T20:32:26Z</cp:lastPrinted>
  <dcterms:created xsi:type="dcterms:W3CDTF">2021-01-27T03:33:37Z</dcterms:created>
  <dcterms:modified xsi:type="dcterms:W3CDTF">2026-01-13T02:04:39Z</dcterms:modified>
</cp:coreProperties>
</file>