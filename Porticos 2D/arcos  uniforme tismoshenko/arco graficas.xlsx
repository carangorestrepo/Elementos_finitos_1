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oli\ELEMENTOS FINITOS\Elementos finitos_1\Porticos 2D\arcos  uniforme tismoshenko\"/>
    </mc:Choice>
  </mc:AlternateContent>
  <xr:revisionPtr revIDLastSave="0" documentId="8_{BD968E32-06AD-44DD-B90E-962469ADC45A}" xr6:coauthVersionLast="47" xr6:coauthVersionMax="47" xr10:uidLastSave="{00000000-0000-0000-0000-000000000000}"/>
  <bookViews>
    <workbookView xWindow="14400" yWindow="0" windowWidth="14400" windowHeight="15600" xr2:uid="{C834329C-8E64-4D66-9FBD-FC5874D230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" i="1"/>
</calcChain>
</file>

<file path=xl/sharedStrings.xml><?xml version="1.0" encoding="utf-8"?>
<sst xmlns="http://schemas.openxmlformats.org/spreadsheetml/2006/main" count="5" uniqueCount="5">
  <si>
    <t>x</t>
  </si>
  <si>
    <t>y</t>
  </si>
  <si>
    <t>dydx</t>
  </si>
  <si>
    <t>Vu</t>
  </si>
  <si>
    <t>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</si>
</sst>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Hoja1!$C$2:$C$42</c:f>
              <c:numCache>
                <c:formatCode>General</c:formatCode>
                <c:ptCount val="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</c:numCache>
            </c:numRef>
          </c:xVal>
          <c:yVal>
            <c:numRef>
              <c:f>Hoja1!$D$2:$D$42</c:f>
              <c:numCache>
                <c:formatCode>General</c:formatCode>
                <c:ptCount val="41"/>
                <c:pt idx="0">
                  <c:v>0</c:v>
                </c:pt>
                <c:pt idx="1">
                  <c:v>0.13200000000000001</c:v>
                </c:pt>
                <c:pt idx="2">
                  <c:v>0.25800000000000001</c:v>
                </c:pt>
                <c:pt idx="3">
                  <c:v>0.37799999999999995</c:v>
                </c:pt>
                <c:pt idx="4">
                  <c:v>0.49200000000000005</c:v>
                </c:pt>
                <c:pt idx="5">
                  <c:v>0.60000000000000009</c:v>
                </c:pt>
                <c:pt idx="6">
                  <c:v>0.70199999999999996</c:v>
                </c:pt>
                <c:pt idx="7">
                  <c:v>0.79800000000000004</c:v>
                </c:pt>
                <c:pt idx="8">
                  <c:v>0.88800000000000001</c:v>
                </c:pt>
                <c:pt idx="9">
                  <c:v>0.97200000000000009</c:v>
                </c:pt>
                <c:pt idx="10">
                  <c:v>1.05</c:v>
                </c:pt>
                <c:pt idx="11">
                  <c:v>1.1219999999999999</c:v>
                </c:pt>
                <c:pt idx="12">
                  <c:v>1.1879999999999997</c:v>
                </c:pt>
                <c:pt idx="13">
                  <c:v>1.2480000000000002</c:v>
                </c:pt>
                <c:pt idx="14">
                  <c:v>1.302</c:v>
                </c:pt>
                <c:pt idx="15">
                  <c:v>1.3499999999999999</c:v>
                </c:pt>
                <c:pt idx="16">
                  <c:v>1.3919999999999999</c:v>
                </c:pt>
                <c:pt idx="17">
                  <c:v>1.4280000000000002</c:v>
                </c:pt>
                <c:pt idx="18">
                  <c:v>1.4580000000000002</c:v>
                </c:pt>
                <c:pt idx="19">
                  <c:v>1.482</c:v>
                </c:pt>
                <c:pt idx="20">
                  <c:v>1.5000000000000002</c:v>
                </c:pt>
                <c:pt idx="21">
                  <c:v>1.512</c:v>
                </c:pt>
                <c:pt idx="22">
                  <c:v>1.5179999999999998</c:v>
                </c:pt>
                <c:pt idx="23">
                  <c:v>1.5179999999999998</c:v>
                </c:pt>
                <c:pt idx="24">
                  <c:v>1.5119999999999996</c:v>
                </c:pt>
                <c:pt idx="25">
                  <c:v>1.5</c:v>
                </c:pt>
                <c:pt idx="26">
                  <c:v>1.4820000000000002</c:v>
                </c:pt>
                <c:pt idx="27">
                  <c:v>1.4580000000000002</c:v>
                </c:pt>
                <c:pt idx="28">
                  <c:v>1.4280000000000004</c:v>
                </c:pt>
                <c:pt idx="29">
                  <c:v>1.3919999999999999</c:v>
                </c:pt>
                <c:pt idx="30">
                  <c:v>1.3499999999999996</c:v>
                </c:pt>
                <c:pt idx="31">
                  <c:v>1.302</c:v>
                </c:pt>
                <c:pt idx="32">
                  <c:v>1.2479999999999998</c:v>
                </c:pt>
                <c:pt idx="33">
                  <c:v>1.1880000000000006</c:v>
                </c:pt>
                <c:pt idx="34">
                  <c:v>1.1220000000000008</c:v>
                </c:pt>
                <c:pt idx="35">
                  <c:v>1.0499999999999998</c:v>
                </c:pt>
                <c:pt idx="36">
                  <c:v>0.97199999999999998</c:v>
                </c:pt>
                <c:pt idx="37">
                  <c:v>0.88799999999999901</c:v>
                </c:pt>
                <c:pt idx="38">
                  <c:v>0.79800000000000004</c:v>
                </c:pt>
                <c:pt idx="39">
                  <c:v>0.70199999999999996</c:v>
                </c:pt>
                <c:pt idx="40">
                  <c:v>0.60000000000000053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96-4708-9122-815AB45E1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3803792"/>
        <c:axId val="483805952"/>
      </c:scatterChart>
      <c:valAx>
        <c:axId val="48380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3805952"/>
        <c:crosses val="autoZero"/>
        <c:crossBetween val="midCat"/>
      </c:valAx>
      <c:valAx>
        <c:axId val="48380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380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714375</xdr:colOff>
      <xdr:row>11</xdr:row>
      <xdr:rowOff>23812</xdr:rowOff>
    </xdr:from>
    <xdr:to>
      <xdr:col>12</xdr:col>
      <xdr:colOff>742950</xdr:colOff>
      <xdr:row>25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DDFB0D-764C-4492-4D09-75A8E24EB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3DBD2-324A-4EFE-92E8-9333E2AC515B}">
  <dimension ref="B1:G42"/>
  <sheetViews>
    <sheetView tabSelected="1" workbookViewId="0">
      <selection activeCell="F42" sqref="F2:G42"/>
    </sheetView>
  </sheetViews>
  <sheetFormatPr baseColWidth="10" defaultRowHeight="15" x14ac:dyDescent="0.25"/>
  <cols>
    <col min="5" max="5" width="11.85546875" bestFit="1" customWidth="1"/>
  </cols>
  <sheetData>
    <row r="1" spans="2:7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2:7" x14ac:dyDescent="0.25">
      <c r="B2">
        <v>1</v>
      </c>
      <c r="C2" s="1">
        <v>0</v>
      </c>
      <c r="D2">
        <f>(27*C2)/20 - (3*C2^2)/10</f>
        <v>0</v>
      </c>
      <c r="E2">
        <f>27/20 - (3*C2)/5</f>
        <v>1.35</v>
      </c>
      <c r="F2" s="2">
        <f>1/(((3*C2)/5 - 27/20)^2 + 1)^(1/2)</f>
        <v>0.59522755062573751</v>
      </c>
      <c r="G2" s="2">
        <f>-((3*C2)/5 - 27/20)/(((3*C2)/5 - 27/20)^2 + 1)^(1/2)</f>
        <v>0.80355719334474573</v>
      </c>
    </row>
    <row r="3" spans="2:7" x14ac:dyDescent="0.25">
      <c r="B3">
        <v>2</v>
      </c>
      <c r="C3" s="1">
        <v>0.1</v>
      </c>
      <c r="D3">
        <f t="shared" ref="D3:D42" si="0">(27*C3)/20 - (3*C3^2)/10</f>
        <v>0.13200000000000001</v>
      </c>
      <c r="E3">
        <f t="shared" ref="E3:E42" si="1">27/20 - (3*C3)/5</f>
        <v>1.29</v>
      </c>
      <c r="F3" s="2">
        <f t="shared" ref="F3:F42" si="2">1/(((3*C3)/5 - 27/20)^2 + 1)^(1/2)</f>
        <v>0.61266735284087115</v>
      </c>
      <c r="G3" s="2">
        <f t="shared" ref="G3:G42" si="3">-((3*C3)/5 - 27/20)/(((3*C3)/5 - 27/20)^2 + 1)^(1/2)</f>
        <v>0.79034088516472389</v>
      </c>
    </row>
    <row r="4" spans="2:7" x14ac:dyDescent="0.25">
      <c r="B4">
        <v>3</v>
      </c>
      <c r="C4" s="1">
        <v>0.2</v>
      </c>
      <c r="D4">
        <f t="shared" si="0"/>
        <v>0.25800000000000001</v>
      </c>
      <c r="E4">
        <f t="shared" si="1"/>
        <v>1.23</v>
      </c>
      <c r="F4" s="2">
        <f t="shared" si="2"/>
        <v>0.63083008454485978</v>
      </c>
      <c r="G4" s="2">
        <f t="shared" si="3"/>
        <v>0.77592100399017749</v>
      </c>
    </row>
    <row r="5" spans="2:7" x14ac:dyDescent="0.25">
      <c r="B5">
        <v>4</v>
      </c>
      <c r="C5" s="1">
        <v>0.3</v>
      </c>
      <c r="D5">
        <f t="shared" si="0"/>
        <v>0.37799999999999995</v>
      </c>
      <c r="E5">
        <f t="shared" si="1"/>
        <v>1.1700000000000002</v>
      </c>
      <c r="F5" s="2">
        <f t="shared" si="2"/>
        <v>0.6497205990031133</v>
      </c>
      <c r="G5" s="2">
        <f t="shared" si="3"/>
        <v>0.76017310083364276</v>
      </c>
    </row>
    <row r="6" spans="2:7" x14ac:dyDescent="0.25">
      <c r="B6">
        <v>5</v>
      </c>
      <c r="C6" s="1">
        <v>0.4</v>
      </c>
      <c r="D6">
        <f t="shared" si="0"/>
        <v>0.49200000000000005</v>
      </c>
      <c r="E6">
        <f t="shared" si="1"/>
        <v>1.1100000000000001</v>
      </c>
      <c r="F6" s="2">
        <f t="shared" si="2"/>
        <v>0.66933444686879362</v>
      </c>
      <c r="G6" s="2">
        <f t="shared" si="3"/>
        <v>0.74296123602436093</v>
      </c>
    </row>
    <row r="7" spans="2:7" x14ac:dyDescent="0.25">
      <c r="B7">
        <v>6</v>
      </c>
      <c r="C7" s="1">
        <v>0.5</v>
      </c>
      <c r="D7">
        <f t="shared" si="0"/>
        <v>0.60000000000000009</v>
      </c>
      <c r="E7">
        <f t="shared" si="1"/>
        <v>1.05</v>
      </c>
      <c r="F7" s="2">
        <f t="shared" si="2"/>
        <v>0.68965517241379315</v>
      </c>
      <c r="G7" s="2">
        <f t="shared" si="3"/>
        <v>0.72413793103448276</v>
      </c>
    </row>
    <row r="8" spans="2:7" x14ac:dyDescent="0.25">
      <c r="B8">
        <v>7</v>
      </c>
      <c r="C8" s="1">
        <v>0.6</v>
      </c>
      <c r="D8">
        <f t="shared" si="0"/>
        <v>0.70199999999999996</v>
      </c>
      <c r="E8">
        <f t="shared" si="1"/>
        <v>0.9900000000000001</v>
      </c>
      <c r="F8" s="2">
        <f t="shared" si="2"/>
        <v>0.71065110901020723</v>
      </c>
      <c r="G8" s="2">
        <f t="shared" si="3"/>
        <v>0.70354459792010515</v>
      </c>
    </row>
    <row r="9" spans="2:7" x14ac:dyDescent="0.25">
      <c r="B9">
        <v>8</v>
      </c>
      <c r="C9" s="1">
        <v>0.7</v>
      </c>
      <c r="D9">
        <f t="shared" si="0"/>
        <v>0.79800000000000004</v>
      </c>
      <c r="E9">
        <f t="shared" si="1"/>
        <v>0.93000000000000016</v>
      </c>
      <c r="F9" s="2">
        <f t="shared" si="2"/>
        <v>0.73227165814932194</v>
      </c>
      <c r="G9" s="2">
        <f t="shared" si="3"/>
        <v>0.68101264207886958</v>
      </c>
    </row>
    <row r="10" spans="2:7" x14ac:dyDescent="0.25">
      <c r="B10">
        <v>9</v>
      </c>
      <c r="C10" s="1">
        <v>0.8</v>
      </c>
      <c r="D10">
        <f t="shared" si="0"/>
        <v>0.88800000000000001</v>
      </c>
      <c r="E10">
        <f t="shared" si="1"/>
        <v>0.87</v>
      </c>
      <c r="F10" s="2">
        <f t="shared" si="2"/>
        <v>0.75444307857771475</v>
      </c>
      <c r="G10" s="2">
        <f t="shared" si="3"/>
        <v>0.65636547836261183</v>
      </c>
    </row>
    <row r="11" spans="2:7" x14ac:dyDescent="0.25">
      <c r="B11">
        <v>10</v>
      </c>
      <c r="C11" s="1">
        <v>0.9</v>
      </c>
      <c r="D11">
        <f t="shared" si="0"/>
        <v>0.97200000000000009</v>
      </c>
      <c r="E11">
        <f t="shared" si="1"/>
        <v>0.81</v>
      </c>
      <c r="F11" s="2">
        <f t="shared" si="2"/>
        <v>0.77706387848082314</v>
      </c>
      <c r="G11" s="2">
        <f t="shared" si="3"/>
        <v>0.62942174156946673</v>
      </c>
    </row>
    <row r="12" spans="2:7" x14ac:dyDescent="0.25">
      <c r="B12">
        <v>11</v>
      </c>
      <c r="C12" s="1">
        <v>1</v>
      </c>
      <c r="D12">
        <f t="shared" si="0"/>
        <v>1.05</v>
      </c>
      <c r="E12">
        <f t="shared" si="1"/>
        <v>0.75000000000000011</v>
      </c>
      <c r="F12" s="2">
        <f t="shared" si="2"/>
        <v>0.8</v>
      </c>
      <c r="G12" s="2">
        <f t="shared" si="3"/>
        <v>0.60000000000000009</v>
      </c>
    </row>
    <row r="13" spans="2:7" x14ac:dyDescent="0.25">
      <c r="B13">
        <v>12</v>
      </c>
      <c r="C13" s="1">
        <v>1.1000000000000001</v>
      </c>
      <c r="D13">
        <f t="shared" si="0"/>
        <v>1.1219999999999999</v>
      </c>
      <c r="E13">
        <f t="shared" si="1"/>
        <v>0.69000000000000006</v>
      </c>
      <c r="F13" s="2">
        <f t="shared" si="2"/>
        <v>0.82308011556249749</v>
      </c>
      <c r="G13" s="2">
        <f t="shared" si="3"/>
        <v>0.56792527973812335</v>
      </c>
    </row>
    <row r="14" spans="2:7" x14ac:dyDescent="0.25">
      <c r="B14">
        <v>13</v>
      </c>
      <c r="C14" s="1">
        <v>1.2</v>
      </c>
      <c r="D14">
        <f t="shared" si="0"/>
        <v>1.1879999999999997</v>
      </c>
      <c r="E14">
        <f t="shared" si="1"/>
        <v>0.63000000000000012</v>
      </c>
      <c r="F14" s="2">
        <f t="shared" si="2"/>
        <v>0.8460915180389269</v>
      </c>
      <c r="G14" s="2">
        <f t="shared" si="3"/>
        <v>0.53303765636452405</v>
      </c>
    </row>
    <row r="15" spans="2:7" x14ac:dyDescent="0.25">
      <c r="B15">
        <v>14</v>
      </c>
      <c r="C15" s="1">
        <v>1.3</v>
      </c>
      <c r="D15">
        <f t="shared" si="0"/>
        <v>1.2480000000000002</v>
      </c>
      <c r="E15">
        <f t="shared" si="1"/>
        <v>0.57000000000000006</v>
      </c>
      <c r="F15" s="2">
        <f t="shared" si="2"/>
        <v>0.86877727019266082</v>
      </c>
      <c r="G15" s="2">
        <f t="shared" si="3"/>
        <v>0.49520304400981674</v>
      </c>
    </row>
    <row r="16" spans="2:7" x14ac:dyDescent="0.25">
      <c r="B16">
        <v>15</v>
      </c>
      <c r="C16" s="1">
        <v>1.4</v>
      </c>
      <c r="D16">
        <f t="shared" si="0"/>
        <v>1.302</v>
      </c>
      <c r="E16">
        <f t="shared" si="1"/>
        <v>0.51000000000000023</v>
      </c>
      <c r="F16" s="2">
        <f t="shared" si="2"/>
        <v>0.8908354564627694</v>
      </c>
      <c r="G16" s="2">
        <f t="shared" si="3"/>
        <v>0.45432608279601261</v>
      </c>
    </row>
    <row r="17" spans="2:7" x14ac:dyDescent="0.25">
      <c r="B17">
        <v>16</v>
      </c>
      <c r="C17" s="1">
        <v>1.5</v>
      </c>
      <c r="D17">
        <f t="shared" si="0"/>
        <v>1.3499999999999999</v>
      </c>
      <c r="E17">
        <f t="shared" si="1"/>
        <v>0.45000000000000007</v>
      </c>
      <c r="F17" s="2">
        <f t="shared" si="2"/>
        <v>0.91192150517510628</v>
      </c>
      <c r="G17" s="2">
        <f t="shared" si="3"/>
        <v>0.41036467732879789</v>
      </c>
    </row>
    <row r="18" spans="2:7" x14ac:dyDescent="0.25">
      <c r="B18">
        <v>17</v>
      </c>
      <c r="C18" s="1">
        <v>1.6</v>
      </c>
      <c r="D18">
        <f t="shared" si="0"/>
        <v>1.3919999999999999</v>
      </c>
      <c r="E18">
        <f t="shared" si="1"/>
        <v>0.3899999999999999</v>
      </c>
      <c r="F18" s="2">
        <f t="shared" si="2"/>
        <v>0.9316545551067793</v>
      </c>
      <c r="G18" s="2">
        <f t="shared" si="3"/>
        <v>0.36334527649164383</v>
      </c>
    </row>
    <row r="19" spans="2:7" x14ac:dyDescent="0.25">
      <c r="B19">
        <v>18</v>
      </c>
      <c r="C19" s="1">
        <v>1.7</v>
      </c>
      <c r="D19">
        <f t="shared" si="0"/>
        <v>1.4280000000000002</v>
      </c>
      <c r="E19">
        <f t="shared" si="1"/>
        <v>0.33000000000000007</v>
      </c>
      <c r="F19" s="2">
        <f t="shared" si="2"/>
        <v>0.94962864910273281</v>
      </c>
      <c r="G19" s="2">
        <f t="shared" si="3"/>
        <v>0.3133774542039019</v>
      </c>
    </row>
    <row r="20" spans="2:7" x14ac:dyDescent="0.25">
      <c r="B20">
        <v>19</v>
      </c>
      <c r="C20" s="1">
        <v>1.8</v>
      </c>
      <c r="D20">
        <f t="shared" si="0"/>
        <v>1.4580000000000002</v>
      </c>
      <c r="E20">
        <f t="shared" si="1"/>
        <v>0.27</v>
      </c>
      <c r="F20" s="2">
        <f t="shared" si="2"/>
        <v>0.96542908255838722</v>
      </c>
      <c r="G20" s="2">
        <f t="shared" si="3"/>
        <v>0.26066585229076455</v>
      </c>
    </row>
    <row r="21" spans="2:7" x14ac:dyDescent="0.25">
      <c r="B21">
        <v>20</v>
      </c>
      <c r="C21" s="1">
        <v>1.9</v>
      </c>
      <c r="D21">
        <f t="shared" si="0"/>
        <v>1.482</v>
      </c>
      <c r="E21">
        <f t="shared" si="1"/>
        <v>0.21000000000000019</v>
      </c>
      <c r="F21" s="2">
        <f t="shared" si="2"/>
        <v>0.97865349660197054</v>
      </c>
      <c r="G21" s="2">
        <f t="shared" si="3"/>
        <v>0.205517234286414</v>
      </c>
    </row>
    <row r="22" spans="2:7" x14ac:dyDescent="0.25">
      <c r="B22">
        <v>21</v>
      </c>
      <c r="C22" s="1">
        <v>2</v>
      </c>
      <c r="D22">
        <f t="shared" si="0"/>
        <v>1.5000000000000002</v>
      </c>
      <c r="E22">
        <f t="shared" si="1"/>
        <v>0.15000000000000013</v>
      </c>
      <c r="F22" s="2">
        <f t="shared" si="2"/>
        <v>0.98893635286829751</v>
      </c>
      <c r="G22" s="2">
        <f t="shared" si="3"/>
        <v>0.14834045293024475</v>
      </c>
    </row>
    <row r="23" spans="2:7" x14ac:dyDescent="0.25">
      <c r="B23">
        <v>22</v>
      </c>
      <c r="C23" s="1">
        <v>2.1</v>
      </c>
      <c r="D23">
        <f t="shared" si="0"/>
        <v>1.512</v>
      </c>
      <c r="E23">
        <f t="shared" si="1"/>
        <v>8.9999999999999858E-2</v>
      </c>
      <c r="F23" s="2">
        <f t="shared" si="2"/>
        <v>0.99597443884322867</v>
      </c>
      <c r="G23" s="2">
        <f t="shared" si="3"/>
        <v>8.9637699495890441E-2</v>
      </c>
    </row>
    <row r="24" spans="2:7" x14ac:dyDescent="0.25">
      <c r="B24">
        <v>23</v>
      </c>
      <c r="C24" s="1">
        <v>2.2000000000000002</v>
      </c>
      <c r="D24">
        <f t="shared" si="0"/>
        <v>1.5179999999999998</v>
      </c>
      <c r="E24">
        <f t="shared" si="1"/>
        <v>3.0000000000000027E-2</v>
      </c>
      <c r="F24" s="2">
        <f t="shared" si="2"/>
        <v>0.99955030352236685</v>
      </c>
      <c r="G24" s="2">
        <f t="shared" si="3"/>
        <v>2.9986509105671032E-2</v>
      </c>
    </row>
    <row r="25" spans="2:7" x14ac:dyDescent="0.25">
      <c r="B25">
        <v>24</v>
      </c>
      <c r="C25" s="1">
        <v>2.2999999999999998</v>
      </c>
      <c r="D25">
        <f t="shared" si="0"/>
        <v>1.5179999999999998</v>
      </c>
      <c r="E25">
        <f t="shared" si="1"/>
        <v>-2.9999999999999805E-2</v>
      </c>
      <c r="F25" s="2">
        <f t="shared" si="2"/>
        <v>0.99955030352236685</v>
      </c>
      <c r="G25" s="2">
        <f t="shared" si="3"/>
        <v>-2.998650910567081E-2</v>
      </c>
    </row>
    <row r="26" spans="2:7" x14ac:dyDescent="0.25">
      <c r="B26">
        <v>25</v>
      </c>
      <c r="C26" s="1">
        <v>2.4</v>
      </c>
      <c r="D26">
        <f t="shared" si="0"/>
        <v>1.5119999999999996</v>
      </c>
      <c r="E26">
        <f t="shared" si="1"/>
        <v>-8.9999999999999858E-2</v>
      </c>
      <c r="F26" s="2">
        <f t="shared" si="2"/>
        <v>0.99597443884322867</v>
      </c>
      <c r="G26" s="2">
        <f t="shared" si="3"/>
        <v>-8.9637699495890441E-2</v>
      </c>
    </row>
    <row r="27" spans="2:7" x14ac:dyDescent="0.25">
      <c r="B27">
        <v>26</v>
      </c>
      <c r="C27" s="1">
        <v>2.5</v>
      </c>
      <c r="D27">
        <f t="shared" si="0"/>
        <v>1.5</v>
      </c>
      <c r="E27">
        <f t="shared" si="1"/>
        <v>-0.14999999999999991</v>
      </c>
      <c r="F27" s="2">
        <f t="shared" si="2"/>
        <v>0.98893635286829751</v>
      </c>
      <c r="G27" s="2">
        <f t="shared" si="3"/>
        <v>-0.14834045293024453</v>
      </c>
    </row>
    <row r="28" spans="2:7" x14ac:dyDescent="0.25">
      <c r="B28">
        <v>27</v>
      </c>
      <c r="C28" s="1">
        <v>2.6</v>
      </c>
      <c r="D28">
        <f t="shared" si="0"/>
        <v>1.4820000000000002</v>
      </c>
      <c r="E28">
        <f t="shared" si="1"/>
        <v>-0.20999999999999996</v>
      </c>
      <c r="F28" s="2">
        <f t="shared" si="2"/>
        <v>0.97865349660197054</v>
      </c>
      <c r="G28" s="2">
        <f t="shared" si="3"/>
        <v>-0.20551723428641377</v>
      </c>
    </row>
    <row r="29" spans="2:7" x14ac:dyDescent="0.25">
      <c r="B29">
        <v>28</v>
      </c>
      <c r="C29" s="1">
        <v>2.7</v>
      </c>
      <c r="D29">
        <f t="shared" si="0"/>
        <v>1.4580000000000002</v>
      </c>
      <c r="E29">
        <f t="shared" si="1"/>
        <v>-0.27000000000000024</v>
      </c>
      <c r="F29" s="2">
        <f t="shared" si="2"/>
        <v>0.96542908255838722</v>
      </c>
      <c r="G29" s="2">
        <f t="shared" si="3"/>
        <v>-0.26066585229076478</v>
      </c>
    </row>
    <row r="30" spans="2:7" x14ac:dyDescent="0.25">
      <c r="B30">
        <v>29</v>
      </c>
      <c r="C30" s="1">
        <v>2.8</v>
      </c>
      <c r="D30">
        <f t="shared" si="0"/>
        <v>1.4280000000000004</v>
      </c>
      <c r="E30">
        <f t="shared" si="1"/>
        <v>-0.32999999999999963</v>
      </c>
      <c r="F30" s="2">
        <f t="shared" si="2"/>
        <v>0.94962864910273304</v>
      </c>
      <c r="G30" s="2">
        <f t="shared" si="3"/>
        <v>-0.31337745420390156</v>
      </c>
    </row>
    <row r="31" spans="2:7" x14ac:dyDescent="0.25">
      <c r="B31">
        <v>30</v>
      </c>
      <c r="C31" s="1">
        <v>2.9</v>
      </c>
      <c r="D31">
        <f t="shared" si="0"/>
        <v>1.3919999999999999</v>
      </c>
      <c r="E31">
        <f t="shared" si="1"/>
        <v>-0.38999999999999968</v>
      </c>
      <c r="F31" s="2">
        <f t="shared" si="2"/>
        <v>0.9316545551067793</v>
      </c>
      <c r="G31" s="2">
        <f t="shared" si="3"/>
        <v>-0.36334527649164367</v>
      </c>
    </row>
    <row r="32" spans="2:7" x14ac:dyDescent="0.25">
      <c r="B32">
        <v>31</v>
      </c>
      <c r="C32" s="1">
        <v>3</v>
      </c>
      <c r="D32">
        <f t="shared" si="0"/>
        <v>1.3499999999999996</v>
      </c>
      <c r="E32">
        <f t="shared" si="1"/>
        <v>-0.44999999999999996</v>
      </c>
      <c r="F32" s="2">
        <f t="shared" si="2"/>
        <v>0.91192150517510651</v>
      </c>
      <c r="G32" s="2">
        <f t="shared" si="3"/>
        <v>-0.41036467732879789</v>
      </c>
    </row>
    <row r="33" spans="2:7" x14ac:dyDescent="0.25">
      <c r="B33">
        <v>32</v>
      </c>
      <c r="C33" s="1">
        <v>3.1</v>
      </c>
      <c r="D33">
        <f t="shared" si="0"/>
        <v>1.302</v>
      </c>
      <c r="E33">
        <f t="shared" si="1"/>
        <v>-0.51</v>
      </c>
      <c r="F33" s="2">
        <f t="shared" si="2"/>
        <v>0.8908354564627694</v>
      </c>
      <c r="G33" s="2">
        <f t="shared" si="3"/>
        <v>-0.45432608279601244</v>
      </c>
    </row>
    <row r="34" spans="2:7" x14ac:dyDescent="0.25">
      <c r="B34">
        <v>33</v>
      </c>
      <c r="C34" s="1">
        <v>3.2</v>
      </c>
      <c r="D34">
        <f t="shared" si="0"/>
        <v>1.2479999999999998</v>
      </c>
      <c r="E34">
        <f t="shared" si="1"/>
        <v>-0.57000000000000028</v>
      </c>
      <c r="F34" s="2">
        <f t="shared" si="2"/>
        <v>0.8687772701926606</v>
      </c>
      <c r="G34" s="2">
        <f t="shared" si="3"/>
        <v>-0.4952030440098168</v>
      </c>
    </row>
    <row r="35" spans="2:7" x14ac:dyDescent="0.25">
      <c r="B35">
        <v>34</v>
      </c>
      <c r="C35" s="1">
        <v>3.3</v>
      </c>
      <c r="D35">
        <f t="shared" si="0"/>
        <v>1.1880000000000006</v>
      </c>
      <c r="E35">
        <f t="shared" si="1"/>
        <v>-0.62999999999999967</v>
      </c>
      <c r="F35" s="2">
        <f t="shared" si="2"/>
        <v>0.84609151803892702</v>
      </c>
      <c r="G35" s="2">
        <f t="shared" si="3"/>
        <v>-0.53303765636452372</v>
      </c>
    </row>
    <row r="36" spans="2:7" x14ac:dyDescent="0.25">
      <c r="B36">
        <v>35</v>
      </c>
      <c r="C36" s="1">
        <v>3.4</v>
      </c>
      <c r="D36">
        <f t="shared" si="0"/>
        <v>1.1220000000000008</v>
      </c>
      <c r="E36">
        <f t="shared" si="1"/>
        <v>-0.69</v>
      </c>
      <c r="F36" s="2">
        <f t="shared" si="2"/>
        <v>0.82308011556249749</v>
      </c>
      <c r="G36" s="2">
        <f t="shared" si="3"/>
        <v>-0.56792527973812323</v>
      </c>
    </row>
    <row r="37" spans="2:7" x14ac:dyDescent="0.25">
      <c r="B37">
        <v>36</v>
      </c>
      <c r="C37" s="1">
        <v>3.5</v>
      </c>
      <c r="D37">
        <f t="shared" si="0"/>
        <v>1.0499999999999998</v>
      </c>
      <c r="E37">
        <f t="shared" si="1"/>
        <v>-0.75</v>
      </c>
      <c r="F37" s="2">
        <f t="shared" si="2"/>
        <v>0.8</v>
      </c>
      <c r="G37" s="2">
        <f t="shared" si="3"/>
        <v>-0.6</v>
      </c>
    </row>
    <row r="38" spans="2:7" x14ac:dyDescent="0.25">
      <c r="B38">
        <v>37</v>
      </c>
      <c r="C38" s="1">
        <v>3.6</v>
      </c>
      <c r="D38">
        <f t="shared" si="0"/>
        <v>0.97199999999999998</v>
      </c>
      <c r="E38">
        <f t="shared" si="1"/>
        <v>-0.81</v>
      </c>
      <c r="F38" s="2">
        <f t="shared" si="2"/>
        <v>0.77706387848082314</v>
      </c>
      <c r="G38" s="2">
        <f t="shared" si="3"/>
        <v>-0.62942174156946673</v>
      </c>
    </row>
    <row r="39" spans="2:7" x14ac:dyDescent="0.25">
      <c r="B39">
        <v>38</v>
      </c>
      <c r="C39" s="1">
        <v>3.7</v>
      </c>
      <c r="D39">
        <f t="shared" si="0"/>
        <v>0.88799999999999901</v>
      </c>
      <c r="E39">
        <f t="shared" si="1"/>
        <v>-0.87000000000000011</v>
      </c>
      <c r="F39" s="2">
        <f t="shared" si="2"/>
        <v>0.75444307857771464</v>
      </c>
      <c r="G39" s="2">
        <f t="shared" si="3"/>
        <v>-0.65636547836261183</v>
      </c>
    </row>
    <row r="40" spans="2:7" x14ac:dyDescent="0.25">
      <c r="B40">
        <v>39</v>
      </c>
      <c r="C40" s="1">
        <v>3.8</v>
      </c>
      <c r="D40">
        <f t="shared" si="0"/>
        <v>0.79800000000000004</v>
      </c>
      <c r="E40">
        <f t="shared" si="1"/>
        <v>-0.92999999999999972</v>
      </c>
      <c r="F40" s="2">
        <f t="shared" si="2"/>
        <v>0.73227165814932216</v>
      </c>
      <c r="G40" s="2">
        <f t="shared" si="3"/>
        <v>-0.68101264207886947</v>
      </c>
    </row>
    <row r="41" spans="2:7" x14ac:dyDescent="0.25">
      <c r="B41">
        <v>40</v>
      </c>
      <c r="C41" s="1">
        <v>3.9</v>
      </c>
      <c r="D41">
        <f t="shared" si="0"/>
        <v>0.70199999999999996</v>
      </c>
      <c r="E41">
        <f t="shared" si="1"/>
        <v>-0.98999999999999977</v>
      </c>
      <c r="F41" s="2">
        <f t="shared" si="2"/>
        <v>0.71065110901020734</v>
      </c>
      <c r="G41" s="2">
        <f t="shared" si="3"/>
        <v>-0.70354459792010504</v>
      </c>
    </row>
    <row r="42" spans="2:7" x14ac:dyDescent="0.25">
      <c r="B42">
        <v>41</v>
      </c>
      <c r="C42" s="1">
        <v>4</v>
      </c>
      <c r="D42">
        <f t="shared" si="0"/>
        <v>0.60000000000000053</v>
      </c>
      <c r="E42">
        <f t="shared" si="1"/>
        <v>-1.0499999999999998</v>
      </c>
      <c r="F42" s="2">
        <f t="shared" si="2"/>
        <v>0.68965517241379315</v>
      </c>
      <c r="G42" s="2">
        <f t="shared" si="3"/>
        <v>-0.72413793103448265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arango</dc:creator>
  <cp:lastModifiedBy>carlos arango</cp:lastModifiedBy>
  <dcterms:created xsi:type="dcterms:W3CDTF">2026-05-28T14:50:22Z</dcterms:created>
  <dcterms:modified xsi:type="dcterms:W3CDTF">2026-05-28T21:59:02Z</dcterms:modified>
</cp:coreProperties>
</file>