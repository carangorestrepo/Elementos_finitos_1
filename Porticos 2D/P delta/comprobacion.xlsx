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oli\ELEMENTOS FINITOS\Elementos finitos_1\Porticos 2D\P delta\"/>
    </mc:Choice>
  </mc:AlternateContent>
  <xr:revisionPtr revIDLastSave="0" documentId="13_ncr:1_{0F3DF97B-8075-47DD-9BE1-EC1157307299}" xr6:coauthVersionLast="47" xr6:coauthVersionMax="47" xr10:uidLastSave="{00000000-0000-0000-0000-000000000000}"/>
  <bookViews>
    <workbookView xWindow="14400" yWindow="0" windowWidth="14400" windowHeight="15600" xr2:uid="{FB349FF0-057F-40C8-8EC0-ED68B3DC8CB9}"/>
  </bookViews>
  <sheets>
    <sheet name="Hoja1" sheetId="1" r:id="rId1"/>
  </sheets>
  <definedNames>
    <definedName name="Ac">Hoja1!$C$21</definedName>
    <definedName name="D">Hoja1!$F$14</definedName>
    <definedName name="E">Hoja1!$C$17</definedName>
    <definedName name="EI">Hoja1!$C$20</definedName>
    <definedName name="G">Hoja1!$C$18</definedName>
    <definedName name="I">Hoja1!$C$19</definedName>
    <definedName name="L">Hoja1!$C$15</definedName>
    <definedName name="landa">Hoja1!$C$24</definedName>
    <definedName name="mu">Hoja1!$F$13</definedName>
    <definedName name="Omega">Hoja1!$F$12</definedName>
    <definedName name="P">Hoja1!$C$16</definedName>
    <definedName name="solver_adj" localSheetId="0" hidden="1">Hoja1!$D$22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Hoja1!$E$31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Hoja1!$C$27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Hoja1!$F$31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X">Hoja1!$C$22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1" l="1"/>
  <c r="G39" i="1"/>
  <c r="H20" i="1"/>
  <c r="C25" i="1"/>
  <c r="H21" i="1"/>
  <c r="E24" i="1"/>
  <c r="E23" i="1"/>
  <c r="E22" i="1"/>
  <c r="E21" i="1"/>
  <c r="G38" i="1"/>
  <c r="F18" i="1"/>
  <c r="F17" i="1"/>
  <c r="F16" i="1"/>
  <c r="F13" i="1"/>
  <c r="G36" i="1"/>
  <c r="G35" i="1"/>
  <c r="F39" i="1"/>
  <c r="F38" i="1"/>
  <c r="F36" i="1"/>
  <c r="F35" i="1"/>
  <c r="D39" i="1"/>
  <c r="D38" i="1"/>
  <c r="D36" i="1"/>
  <c r="D35" i="1"/>
  <c r="C35" i="1"/>
  <c r="C36" i="1"/>
  <c r="C38" i="1"/>
  <c r="C39" i="1"/>
  <c r="E9" i="1"/>
  <c r="D27" i="1" l="1"/>
  <c r="D29" i="1"/>
  <c r="D30" i="1"/>
  <c r="D28" i="1"/>
  <c r="C19" i="1"/>
  <c r="C18" i="1"/>
  <c r="C21" i="1" s="1"/>
  <c r="B5" i="1"/>
  <c r="B6" i="1"/>
  <c r="F12" i="1" l="1"/>
  <c r="G28" i="1"/>
  <c r="G30" i="1"/>
  <c r="G29" i="1"/>
  <c r="C22" i="1"/>
  <c r="C20" i="1"/>
  <c r="F14" i="1" l="1"/>
  <c r="C23" i="1"/>
  <c r="C24" i="1" s="1"/>
  <c r="C27" i="1" s="1"/>
  <c r="C30" i="1" l="1"/>
  <c r="E30" i="1" s="1"/>
  <c r="C29" i="1"/>
  <c r="C28" i="1"/>
  <c r="E28" i="1" l="1"/>
  <c r="E27" i="1"/>
  <c r="E29" i="1"/>
  <c r="E31" i="1" l="1"/>
</calcChain>
</file>

<file path=xl/sharedStrings.xml><?xml version="1.0" encoding="utf-8"?>
<sst xmlns="http://schemas.openxmlformats.org/spreadsheetml/2006/main" count="24" uniqueCount="24">
  <si>
    <t>Pdelta</t>
  </si>
  <si>
    <t>elastico</t>
  </si>
  <si>
    <t>EI</t>
  </si>
  <si>
    <t>Ac</t>
  </si>
  <si>
    <t>X</t>
  </si>
  <si>
    <t>landa</t>
  </si>
  <si>
    <t>T</t>
  </si>
  <si>
    <t>Q</t>
  </si>
  <si>
    <t>S</t>
  </si>
  <si>
    <t>C</t>
  </si>
  <si>
    <t>phi</t>
  </si>
  <si>
    <t>%S/C</t>
  </si>
  <si>
    <t>sotwre sap 2000=S</t>
  </si>
  <si>
    <t>Caculado=C</t>
  </si>
  <si>
    <t>L(m)</t>
  </si>
  <si>
    <t>P(kN)</t>
  </si>
  <si>
    <t>E(KPa)</t>
  </si>
  <si>
    <t>G(KPa)</t>
  </si>
  <si>
    <t>I(m4)</t>
  </si>
  <si>
    <t>P/(X*EI)</t>
  </si>
  <si>
    <t>Version diego</t>
  </si>
  <si>
    <t>vesion sap 2000</t>
  </si>
  <si>
    <t>mu</t>
  </si>
  <si>
    <t>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</si>
</sst>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0"/>
    <numFmt numFmtId="165" formatCode="0.0"/>
    <numFmt numFmtId="166" formatCode="0.0000000000"/>
    <numFmt numFmtId="167" formatCode="0.00000"/>
    <numFmt numFmtId="168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2" fillId="0" borderId="0" xfId="0" applyFont="1"/>
    <xf numFmtId="164" fontId="2" fillId="0" borderId="0" xfId="0" applyNumberFormat="1" applyFont="1"/>
    <xf numFmtId="0" fontId="0" fillId="3" borderId="0" xfId="0" applyFill="1"/>
    <xf numFmtId="0" fontId="0" fillId="2" borderId="1" xfId="0" applyFill="1" applyBorder="1"/>
    <xf numFmtId="165" fontId="1" fillId="0" borderId="1" xfId="0" applyNumberFormat="1" applyFont="1" applyBorder="1"/>
    <xf numFmtId="166" fontId="0" fillId="0" borderId="0" xfId="0" applyNumberFormat="1"/>
    <xf numFmtId="0" fontId="0" fillId="0" borderId="1" xfId="0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7" fontId="0" fillId="0" borderId="1" xfId="0" applyNumberFormat="1" applyBorder="1"/>
    <xf numFmtId="167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503359</xdr:colOff>
      <xdr:row>31</xdr:row>
      <xdr:rowOff>15643</xdr:rowOff>
    </xdr:from>
    <xdr:to>
      <xdr:col>15</xdr:col>
      <xdr:colOff>736265</xdr:colOff>
      <xdr:row>37</xdr:row>
      <xdr:rowOff>146578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DABE9B-287D-FCBE-5455-B104AB213E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381"/>
        <a:stretch>
          <a:fillRect/>
        </a:stretch>
      </xdr:blipFill>
      <xdr:spPr>
        <a:xfrm>
          <a:off x="6687282" y="5884508"/>
          <a:ext cx="6328906" cy="1273935"/>
        </a:xfrm>
        <a:prstGeom prst="rect">
          <a:avLst/>
        </a:prstGeom>
      </xdr:spPr>
    </xdr:pic>
    <xdr:clientData/>
  </xdr:twoCellAnchor>
  <xdr:twoCellAnchor editAs="oneCell">
    <xdr:from>
      <xdr:col>14</xdr:col>
      <xdr:colOff>232475</xdr:colOff>
      <xdr:row>0</xdr:row>
      <xdr:rowOff>36634</xdr:rowOff>
    </xdr:from>
    <xdr:to>
      <xdr:col>19</xdr:col>
      <xdr:colOff>735939</xdr:colOff>
      <xdr:row>27</xdr:row>
      <xdr:rowOff>89176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09F0BC-1377-8DEB-5D88-9601802D1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50398" y="36634"/>
          <a:ext cx="4313464" cy="5159407"/>
        </a:xfrm>
        <a:prstGeom prst="rect">
          <a:avLst/>
        </a:prstGeom>
      </xdr:spPr>
    </xdr:pic>
    <xdr:clientData/>
  </xdr:twoCellAnchor>
  <xdr:twoCellAnchor editAs="oneCell">
    <xdr:from>
      <xdr:col>11</xdr:col>
      <xdr:colOff>721179</xdr:colOff>
      <xdr:row>2</xdr:row>
      <xdr:rowOff>81643</xdr:rowOff>
    </xdr:from>
    <xdr:to>
      <xdr:col>16</xdr:col>
      <xdr:colOff>730227</xdr:colOff>
      <xdr:row>9</xdr:row>
      <xdr:rowOff>176714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2E8D0BD-67A9-D394-C717-4BC787DE9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01893" y="462643"/>
          <a:ext cx="3819048" cy="1428571"/>
        </a:xfrm>
        <a:prstGeom prst="rect">
          <a:avLst/>
        </a:prstGeom>
      </xdr:spPr>
    </xdr:pic>
    <xdr:clientData/>
  </xdr:twoCellAnchor>
  <xdr:twoCellAnchor editAs="oneCell">
    <xdr:from>
      <xdr:col>11</xdr:col>
      <xdr:colOff>761999</xdr:colOff>
      <xdr:row>10</xdr:row>
      <xdr:rowOff>13607</xdr:rowOff>
    </xdr:from>
    <xdr:to>
      <xdr:col>16</xdr:col>
      <xdr:colOff>637713</xdr:colOff>
      <xdr:row>17</xdr:row>
      <xdr:rowOff>184869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4B03624-0AE7-12A5-6DA4-38477C37C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42713" y="1918607"/>
          <a:ext cx="3685714" cy="1504762"/>
        </a:xfrm>
        <a:prstGeom prst="rect">
          <a:avLst/>
        </a:prstGeom>
      </xdr:spPr>
    </xdr:pic>
    <xdr:clientData/>
  </xdr:twoCellAnchor>
  <xdr:twoCellAnchor editAs="oneCell">
    <xdr:from>
      <xdr:col>15</xdr:col>
      <xdr:colOff>511840</xdr:colOff>
      <xdr:row>17</xdr:row>
      <xdr:rowOff>163287</xdr:rowOff>
    </xdr:from>
    <xdr:to>
      <xdr:col>20</xdr:col>
      <xdr:colOff>520888</xdr:colOff>
      <xdr:row>25</xdr:row>
      <xdr:rowOff>67858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A9CC10A-992C-C24D-5134-749A17B17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91763" y="3401787"/>
          <a:ext cx="3819048" cy="14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A5FC-1B94-439C-BBBF-F7A8591BE350}">
  <dimension ref="B1:M56"/>
  <sheetViews>
    <sheetView tabSelected="1" topLeftCell="B31" zoomScale="130" zoomScaleNormal="130" workbookViewId="0">
      <selection activeCell="E34" sqref="E34"/>
    </sheetView>
  </sheetViews>
  <sheetFormatPr baseColWidth="10" defaultRowHeight="15" x14ac:dyDescent="0.25"/>
  <cols>
    <col min="2" max="2" width="15.42578125" bestFit="1" customWidth="1"/>
    <col min="3" max="3" width="13.7109375" bestFit="1" customWidth="1"/>
    <col min="4" max="4" width="17.42578125" bestFit="1" customWidth="1"/>
    <col min="5" max="5" width="17" bestFit="1" customWidth="1"/>
    <col min="6" max="6" width="13.140625" customWidth="1"/>
    <col min="7" max="7" width="14.28515625" bestFit="1" customWidth="1"/>
  </cols>
  <sheetData>
    <row r="1" spans="2:6" x14ac:dyDescent="0.25">
      <c r="B1" s="13" t="s">
        <v>0</v>
      </c>
      <c r="C1" s="13"/>
    </row>
    <row r="2" spans="2:6" x14ac:dyDescent="0.25">
      <c r="B2" s="1">
        <v>9361.1470000000008</v>
      </c>
      <c r="C2" s="1">
        <v>19222.293399999999</v>
      </c>
    </row>
    <row r="3" spans="2:6" x14ac:dyDescent="0.25">
      <c r="B3" s="1">
        <v>19222.293399999999</v>
      </c>
      <c r="C3" s="1">
        <v>25513.8871</v>
      </c>
    </row>
    <row r="4" spans="2:6" x14ac:dyDescent="0.25">
      <c r="B4" s="1">
        <v>0</v>
      </c>
      <c r="C4" s="1"/>
    </row>
    <row r="5" spans="2:6" x14ac:dyDescent="0.25">
      <c r="B5" s="1">
        <f>+B2</f>
        <v>9361.1470000000008</v>
      </c>
      <c r="C5" s="1">
        <v>19222.293399999999</v>
      </c>
    </row>
    <row r="6" spans="2:6" x14ac:dyDescent="0.25">
      <c r="B6" s="1">
        <f>-B3</f>
        <v>-19222.293399999999</v>
      </c>
      <c r="C6" s="1">
        <v>51375.286599999999</v>
      </c>
    </row>
    <row r="8" spans="2:6" x14ac:dyDescent="0.25">
      <c r="B8" s="13" t="s">
        <v>1</v>
      </c>
      <c r="C8" s="13"/>
    </row>
    <row r="9" spans="2:6" x14ac:dyDescent="0.25">
      <c r="B9" s="1">
        <v>9658.277</v>
      </c>
      <c r="C9" s="1">
        <v>19316.553</v>
      </c>
      <c r="E9">
        <f>20*L^2/12</f>
        <v>26.666666666666668</v>
      </c>
    </row>
    <row r="10" spans="2:6" x14ac:dyDescent="0.25">
      <c r="B10" s="1">
        <v>19316.553</v>
      </c>
      <c r="C10" s="1">
        <v>25369.073</v>
      </c>
    </row>
    <row r="11" spans="2:6" x14ac:dyDescent="0.25">
      <c r="B11" s="1"/>
      <c r="C11" s="1"/>
    </row>
    <row r="12" spans="2:6" x14ac:dyDescent="0.25">
      <c r="B12" s="1">
        <v>9658.277</v>
      </c>
      <c r="C12" s="1">
        <v>19316.553</v>
      </c>
      <c r="E12" t="s">
        <v>23</v>
      </c>
      <c r="F12">
        <f xml:space="preserve"> EI/(Ac*L^2)</f>
        <v>2.5000000000000005E-3</v>
      </c>
    </row>
    <row r="13" spans="2:6" x14ac:dyDescent="0.25">
      <c r="B13" s="1">
        <v>-19316.553</v>
      </c>
      <c r="C13" s="1">
        <v>51897.1391</v>
      </c>
      <c r="E13" t="s">
        <v>22</v>
      </c>
      <c r="F13">
        <f>SQRT(P/(EI*(1 + P/(Ac))))</f>
        <v>0.13723615973940506</v>
      </c>
    </row>
    <row r="14" spans="2:6" x14ac:dyDescent="0.25">
      <c r="F14">
        <f>(2-2*COS(mu*L))*(1+Omega*mu^2*L^2)-mu*L*SIN((mu*L))</f>
        <v>7.637733819082837E-3</v>
      </c>
    </row>
    <row r="15" spans="2:6" x14ac:dyDescent="0.25">
      <c r="B15" s="1" t="s">
        <v>14</v>
      </c>
      <c r="C15" s="1">
        <v>4</v>
      </c>
    </row>
    <row r="16" spans="2:6" x14ac:dyDescent="0.25">
      <c r="B16" s="1" t="s">
        <v>15</v>
      </c>
      <c r="C16" s="1">
        <v>1000</v>
      </c>
      <c r="E16" s="10"/>
      <c r="F16" s="11">
        <f xml:space="preserve"> (12*EI/L^3) * (mu*L)^3 * (1 - Omega*mu^2*L^2) * SIN(mu*L) / D</f>
        <v>112337.33598918717</v>
      </c>
    </row>
    <row r="17" spans="2:13" x14ac:dyDescent="0.25">
      <c r="B17" s="1" t="s">
        <v>16</v>
      </c>
      <c r="C17" s="1">
        <v>24870062</v>
      </c>
      <c r="E17" s="10"/>
      <c r="F17" s="11">
        <f>(6*EI/L^2)*(mu*L)^2*(1-COS(mu*L))/D</f>
        <v>115332.88304423154</v>
      </c>
    </row>
    <row r="18" spans="2:13" x14ac:dyDescent="0.25">
      <c r="B18" s="1" t="s">
        <v>17</v>
      </c>
      <c r="C18" s="1">
        <f>0.4*E</f>
        <v>9948024.8000000007</v>
      </c>
      <c r="E18" s="10"/>
      <c r="F18" s="12">
        <f>(4*EI/L) * (mu*L*((1 + Omega*mu^2*L^2)*SIN(mu*L) - mu*L*COS(mu*L))) / (4*D)</f>
        <v>51373.560253706484</v>
      </c>
    </row>
    <row r="19" spans="2:13" x14ac:dyDescent="0.25">
      <c r="B19" s="1" t="s">
        <v>18</v>
      </c>
      <c r="C19" s="1">
        <f>0.4^4/12</f>
        <v>2.1333333333333343E-3</v>
      </c>
    </row>
    <row r="20" spans="2:13" x14ac:dyDescent="0.25">
      <c r="B20" s="1" t="s">
        <v>2</v>
      </c>
      <c r="C20" s="1">
        <f>+C19*C17</f>
        <v>53056.132266666689</v>
      </c>
      <c r="H20">
        <f>+(1-P/Ac)^2*SQRT(P/((1-P/Ac)*EI)*L^2)^3*SIN(SQRT(P/((1-P/Ac)*EI)*L^2))/(2-2*COS(SQRT(P/((1-P/Ac)*EI)*L^2))-(1-P/Ac)*SQRT(P/((1-P/Ac)*EI)*L^2)*SIN(SQRT(P/((1-P/Ac)*EI)*L^2)))*EI/L^3</f>
        <v>9361.0021942844396</v>
      </c>
    </row>
    <row r="21" spans="2:13" x14ac:dyDescent="0.25">
      <c r="B21" s="1" t="s">
        <v>3</v>
      </c>
      <c r="C21" s="1">
        <f>0.4^2*G*5/6</f>
        <v>1326403.3066666669</v>
      </c>
      <c r="E21">
        <f>+G46</f>
        <v>51372.767588837502</v>
      </c>
      <c r="H21">
        <f>SQRT(P/(X*EI)*L^2)</f>
        <v>0.54935865460584365</v>
      </c>
    </row>
    <row r="22" spans="2:13" x14ac:dyDescent="0.25">
      <c r="B22" s="1" t="s">
        <v>4</v>
      </c>
      <c r="C22" s="1">
        <f>(1-P/Ac)</f>
        <v>0.99924608149348404</v>
      </c>
      <c r="E22">
        <f>+G45</f>
        <v>-19222.0046215824</v>
      </c>
      <c r="L22">
        <v>-9375.1402256090096</v>
      </c>
      <c r="M22">
        <v>19236.143901481999</v>
      </c>
    </row>
    <row r="23" spans="2:13" x14ac:dyDescent="0.25">
      <c r="B23" s="1" t="s">
        <v>19</v>
      </c>
      <c r="C23">
        <f>P/(X*EI)</f>
        <v>1.8862183211896411E-2</v>
      </c>
      <c r="E23">
        <f>+G46</f>
        <v>51372.767588837502</v>
      </c>
      <c r="J23">
        <v>19236.1584039669</v>
      </c>
      <c r="K23">
        <v>51372.324076173201</v>
      </c>
      <c r="L23">
        <v>-19236.1584039669</v>
      </c>
      <c r="M23">
        <v>25514.299600169099</v>
      </c>
    </row>
    <row r="24" spans="2:13" x14ac:dyDescent="0.25">
      <c r="B24" s="1" t="s">
        <v>5</v>
      </c>
      <c r="C24" s="7">
        <f>SQRT(C23*L^2)</f>
        <v>0.54935865460584365</v>
      </c>
      <c r="E24">
        <f>+C42</f>
        <v>9361.0023107912093</v>
      </c>
      <c r="J24">
        <v>-9375.1402256090096</v>
      </c>
      <c r="K24">
        <v>-19236.143901481999</v>
      </c>
      <c r="L24">
        <v>9375.1402256090096</v>
      </c>
      <c r="M24">
        <v>-19236.143901481999</v>
      </c>
    </row>
    <row r="25" spans="2:13" x14ac:dyDescent="0.25">
      <c r="B25" s="1" t="s">
        <v>10</v>
      </c>
      <c r="C25" s="1">
        <f>(2-2*COS(landa)-X*landa*SIN(landa))</f>
        <v>7.6547912108466121E-3</v>
      </c>
      <c r="J25">
        <v>19236.1584039669</v>
      </c>
      <c r="L25">
        <v>-19236.1584039669</v>
      </c>
    </row>
    <row r="26" spans="2:13" ht="12" customHeight="1" x14ac:dyDescent="0.25">
      <c r="C26" t="s">
        <v>13</v>
      </c>
      <c r="D26" t="s">
        <v>12</v>
      </c>
      <c r="E26" s="4" t="s">
        <v>11</v>
      </c>
      <c r="F26" s="4"/>
    </row>
    <row r="27" spans="2:13" x14ac:dyDescent="0.25">
      <c r="B27" s="2" t="s">
        <v>6</v>
      </c>
      <c r="C27" s="3">
        <f>+X^2*landa^3*SIN(landa)/C25*EI/L^3</f>
        <v>9361.0021942844396</v>
      </c>
      <c r="D27">
        <f>+B2</f>
        <v>9361.1470000000008</v>
      </c>
      <c r="E27" s="5">
        <f>+D27/C27</f>
        <v>1.0000154690398053</v>
      </c>
      <c r="F27" s="5"/>
      <c r="G27">
        <f>(12*Ac*EI)/(L*(Ac*L^2 + 12*EI))</f>
        <v>9658.2765048543733</v>
      </c>
      <c r="I27">
        <v>9375.1402256090096</v>
      </c>
    </row>
    <row r="28" spans="2:13" x14ac:dyDescent="0.25">
      <c r="B28" s="2" t="s">
        <v>7</v>
      </c>
      <c r="C28" s="2">
        <f>+X*landa^2*(1-COS(landa))/C25*EI/L^2</f>
        <v>19222.004388568879</v>
      </c>
      <c r="D28">
        <f>+B3</f>
        <v>19222.293399999999</v>
      </c>
      <c r="E28" s="5">
        <f t="shared" ref="E28:E30" si="0">+D28/C28</f>
        <v>1.0000150354471509</v>
      </c>
      <c r="F28" s="5"/>
      <c r="G28">
        <f>(6*Ac*EI)/(Ac*L^2 + 12*EI)</f>
        <v>19316.553009708747</v>
      </c>
      <c r="I28">
        <v>19236.143901481999</v>
      </c>
    </row>
    <row r="29" spans="2:13" x14ac:dyDescent="0.25">
      <c r="B29" s="2" t="s">
        <v>8</v>
      </c>
      <c r="C29" s="2">
        <f>landa*(SIN(landa)-X*landa*COS(landa))/C25*EI/L</f>
        <v>51372.766962786583</v>
      </c>
      <c r="D29">
        <f>+C6</f>
        <v>51375.286599999999</v>
      </c>
      <c r="E29" s="4">
        <f t="shared" si="0"/>
        <v>1.0000490461651645</v>
      </c>
      <c r="F29" s="4"/>
      <c r="G29">
        <f>(4*EI*(Ac*L^2 + 3*EI))/(L*(Ac*L^2 + 12*EI))</f>
        <v>51897.139086084164</v>
      </c>
      <c r="I29">
        <v>51372.324076173201</v>
      </c>
    </row>
    <row r="30" spans="2:13" x14ac:dyDescent="0.25">
      <c r="B30" s="2" t="s">
        <v>9</v>
      </c>
      <c r="C30" s="8">
        <f>landa*(X*landa-SIN(landa))/C25*EI/L</f>
        <v>25515.250591488886</v>
      </c>
      <c r="D30">
        <f>+C3</f>
        <v>25513.8871</v>
      </c>
      <c r="E30" s="4">
        <f t="shared" si="0"/>
        <v>0.99994656170496943</v>
      </c>
      <c r="F30" s="4"/>
      <c r="G30">
        <f>-(2*EI*(- Ac*L^2 + 6*EI))/(L*(Ac*L^2 + 12*EI))</f>
        <v>25369.072952750819</v>
      </c>
      <c r="I30">
        <v>25514.299600169099</v>
      </c>
    </row>
    <row r="31" spans="2:13" x14ac:dyDescent="0.25">
      <c r="E31" s="9">
        <f>AVERAGE(E27:E30)</f>
        <v>1.0000065280892725</v>
      </c>
    </row>
    <row r="33" spans="2:7" x14ac:dyDescent="0.25">
      <c r="B33" s="14" t="s">
        <v>21</v>
      </c>
      <c r="C33" s="14"/>
      <c r="D33" s="14"/>
      <c r="E33" s="14"/>
      <c r="F33" s="14"/>
      <c r="G33" s="14"/>
    </row>
    <row r="34" spans="2:7" x14ac:dyDescent="0.25">
      <c r="B34" s="15">
        <v>994802.48</v>
      </c>
      <c r="C34" s="15">
        <v>0</v>
      </c>
      <c r="D34" s="15">
        <v>0</v>
      </c>
      <c r="E34" s="15">
        <v>-994802.48</v>
      </c>
      <c r="F34" s="15">
        <v>0</v>
      </c>
      <c r="G34" s="15">
        <v>0</v>
      </c>
    </row>
    <row r="35" spans="2:7" x14ac:dyDescent="0.25">
      <c r="B35" s="15">
        <v>0</v>
      </c>
      <c r="C35" s="16">
        <f>+D27</f>
        <v>9361.1470000000008</v>
      </c>
      <c r="D35" s="15">
        <f>+D28</f>
        <v>19222.293399999999</v>
      </c>
      <c r="E35" s="15">
        <v>0</v>
      </c>
      <c r="F35" s="15">
        <f>-D27</f>
        <v>-9361.1470000000008</v>
      </c>
      <c r="G35" s="15">
        <f>+D28</f>
        <v>19222.293399999999</v>
      </c>
    </row>
    <row r="36" spans="2:7" x14ac:dyDescent="0.25">
      <c r="B36" s="15">
        <v>0</v>
      </c>
      <c r="C36" s="15">
        <f>+D28</f>
        <v>19222.293399999999</v>
      </c>
      <c r="D36" s="15">
        <f>+D29</f>
        <v>51375.286599999999</v>
      </c>
      <c r="E36" s="15">
        <v>0</v>
      </c>
      <c r="F36" s="15">
        <f>-D28</f>
        <v>-19222.293399999999</v>
      </c>
      <c r="G36" s="15">
        <f>+D30</f>
        <v>25513.8871</v>
      </c>
    </row>
    <row r="37" spans="2:7" x14ac:dyDescent="0.25">
      <c r="B37" s="15">
        <v>-994802.48</v>
      </c>
      <c r="C37" s="15">
        <v>0</v>
      </c>
      <c r="D37" s="15">
        <v>0</v>
      </c>
      <c r="E37" s="15">
        <v>994802.48</v>
      </c>
      <c r="F37" s="15">
        <v>0</v>
      </c>
      <c r="G37" s="15">
        <v>0</v>
      </c>
    </row>
    <row r="38" spans="2:7" x14ac:dyDescent="0.25">
      <c r="B38" s="15">
        <v>0</v>
      </c>
      <c r="C38" s="15">
        <f>-D27</f>
        <v>-9361.1470000000008</v>
      </c>
      <c r="D38" s="15">
        <f>-D28</f>
        <v>-19222.293399999999</v>
      </c>
      <c r="E38" s="15">
        <v>0</v>
      </c>
      <c r="F38" s="15">
        <f>+D28</f>
        <v>19222.293399999999</v>
      </c>
      <c r="G38" s="15">
        <f>-D28</f>
        <v>-19222.293399999999</v>
      </c>
    </row>
    <row r="39" spans="2:7" x14ac:dyDescent="0.25">
      <c r="B39" s="15">
        <v>0</v>
      </c>
      <c r="C39" s="15">
        <f>+D28</f>
        <v>19222.293399999999</v>
      </c>
      <c r="D39" s="15">
        <f>+D30</f>
        <v>25513.8871</v>
      </c>
      <c r="E39" s="15">
        <v>0</v>
      </c>
      <c r="F39" s="15">
        <f>-D28</f>
        <v>-19222.293399999999</v>
      </c>
      <c r="G39" s="15">
        <f>+D29</f>
        <v>51375.286599999999</v>
      </c>
    </row>
    <row r="40" spans="2:7" x14ac:dyDescent="0.25">
      <c r="B40" s="14" t="s">
        <v>20</v>
      </c>
      <c r="C40" s="14"/>
      <c r="D40" s="14"/>
      <c r="E40" s="14"/>
      <c r="F40" s="14"/>
      <c r="G40" s="14"/>
    </row>
    <row r="41" spans="2:7" x14ac:dyDescent="0.25">
      <c r="B41" s="1">
        <v>994802.49199999997</v>
      </c>
      <c r="C41" s="1">
        <v>0</v>
      </c>
      <c r="D41" s="1">
        <v>0</v>
      </c>
      <c r="E41" s="1">
        <v>-994802.49199999997</v>
      </c>
      <c r="F41" s="1">
        <v>0</v>
      </c>
      <c r="G41" s="1">
        <v>0</v>
      </c>
    </row>
    <row r="42" spans="2:7" x14ac:dyDescent="0.25">
      <c r="B42" s="1">
        <v>0</v>
      </c>
      <c r="C42" s="1">
        <v>9361.0023107912093</v>
      </c>
      <c r="D42" s="1">
        <v>19222.0046215824</v>
      </c>
      <c r="E42" s="1">
        <v>0</v>
      </c>
      <c r="F42" s="1">
        <v>-9361.0023107912093</v>
      </c>
      <c r="G42" s="1">
        <v>19222.0046215824</v>
      </c>
    </row>
    <row r="43" spans="2:7" x14ac:dyDescent="0.25">
      <c r="B43" s="1">
        <v>0</v>
      </c>
      <c r="C43" s="1">
        <v>19222.0046215824</v>
      </c>
      <c r="D43" s="1">
        <v>51372.767588837502</v>
      </c>
      <c r="E43" s="1">
        <v>0</v>
      </c>
      <c r="F43" s="1">
        <v>-19222.0046215824</v>
      </c>
      <c r="G43" s="1">
        <v>25515.250897492198</v>
      </c>
    </row>
    <row r="44" spans="2:7" x14ac:dyDescent="0.25">
      <c r="B44" s="1">
        <v>-994802.49199999997</v>
      </c>
      <c r="C44" s="1">
        <v>0</v>
      </c>
      <c r="D44" s="1">
        <v>0</v>
      </c>
      <c r="E44" s="1">
        <v>994802.49199999997</v>
      </c>
      <c r="F44" s="1">
        <v>0</v>
      </c>
      <c r="G44" s="1">
        <v>0</v>
      </c>
    </row>
    <row r="45" spans="2:7" x14ac:dyDescent="0.25">
      <c r="B45" s="1">
        <v>0</v>
      </c>
      <c r="C45" s="1">
        <v>-9361.0023107912093</v>
      </c>
      <c r="D45" s="1">
        <v>-19222.0046215824</v>
      </c>
      <c r="E45" s="1">
        <v>0</v>
      </c>
      <c r="F45" s="1">
        <v>9361.0023107912093</v>
      </c>
      <c r="G45" s="1">
        <v>-19222.0046215824</v>
      </c>
    </row>
    <row r="46" spans="2:7" x14ac:dyDescent="0.25">
      <c r="B46" s="1">
        <v>0</v>
      </c>
      <c r="C46" s="1">
        <v>19222.0046215824</v>
      </c>
      <c r="D46" s="1">
        <v>25515.250897492198</v>
      </c>
      <c r="E46" s="1">
        <v>0</v>
      </c>
      <c r="F46" s="1">
        <v>-19222.0046215824</v>
      </c>
      <c r="G46" s="1">
        <v>51372.767588837502</v>
      </c>
    </row>
    <row r="49" spans="2:7" x14ac:dyDescent="0.25">
      <c r="B49">
        <v>994802.49199999997</v>
      </c>
      <c r="C49">
        <v>0</v>
      </c>
      <c r="D49">
        <v>0</v>
      </c>
      <c r="E49">
        <v>-994802.49199999997</v>
      </c>
      <c r="F49">
        <v>0</v>
      </c>
      <c r="G49">
        <v>0</v>
      </c>
    </row>
    <row r="50" spans="2:7" x14ac:dyDescent="0.25">
      <c r="B50">
        <v>0</v>
      </c>
      <c r="C50">
        <v>9368.2839734859008</v>
      </c>
      <c r="D50">
        <v>19222.076068265102</v>
      </c>
      <c r="E50">
        <v>0</v>
      </c>
      <c r="F50">
        <v>-9368.2839734859008</v>
      </c>
      <c r="G50">
        <v>19222.076068265102</v>
      </c>
    </row>
    <row r="51" spans="2:7" x14ac:dyDescent="0.25">
      <c r="B51">
        <v>0</v>
      </c>
      <c r="C51">
        <v>19236.567946971802</v>
      </c>
      <c r="D51">
        <v>51373.164534552699</v>
      </c>
      <c r="E51">
        <v>0</v>
      </c>
      <c r="F51">
        <v>-19236.567946971802</v>
      </c>
      <c r="G51">
        <v>25515.139738507602</v>
      </c>
    </row>
    <row r="52" spans="2:7" x14ac:dyDescent="0.25">
      <c r="B52">
        <v>-994802.49199999997</v>
      </c>
      <c r="C52">
        <v>0</v>
      </c>
      <c r="D52">
        <v>0</v>
      </c>
      <c r="E52">
        <v>994802.49199999997</v>
      </c>
      <c r="F52">
        <v>0</v>
      </c>
      <c r="G52">
        <v>0</v>
      </c>
    </row>
    <row r="53" spans="2:7" x14ac:dyDescent="0.25">
      <c r="B53">
        <v>0</v>
      </c>
      <c r="C53">
        <v>-9368.2839734859008</v>
      </c>
      <c r="D53">
        <v>-19222.076068265102</v>
      </c>
      <c r="E53">
        <v>0</v>
      </c>
      <c r="F53">
        <v>9368.2839734859008</v>
      </c>
      <c r="G53">
        <v>-19222.076068265102</v>
      </c>
    </row>
    <row r="54" spans="2:7" x14ac:dyDescent="0.25">
      <c r="B54">
        <v>0</v>
      </c>
      <c r="C54">
        <v>19236.567946971802</v>
      </c>
      <c r="D54">
        <v>25515.139738507602</v>
      </c>
      <c r="E54">
        <v>0</v>
      </c>
      <c r="F54">
        <v>-19236.567946971802</v>
      </c>
      <c r="G54">
        <v>51373.164534552699</v>
      </c>
    </row>
    <row r="56" spans="2:7" x14ac:dyDescent="0.25">
      <c r="B56" s="6"/>
    </row>
  </sheetData>
  <mergeCells count="4">
    <mergeCell ref="B1:C1"/>
    <mergeCell ref="B8:C8"/>
    <mergeCell ref="B40:G40"/>
    <mergeCell ref="B33:G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12</vt:i4>
      </vt:variant>
    </vt:vector>
  </HeadingPairs>
  <TitlesOfParts>
    <vt:vector size="13" baseType="lpstr">
      <vt:lpstr>Hoja1</vt:lpstr>
      <vt:lpstr>Ac</vt:lpstr>
      <vt:lpstr>D</vt:lpstr>
      <vt:lpstr>E</vt:lpstr>
      <vt:lpstr>EI</vt:lpstr>
      <vt:lpstr>G</vt:lpstr>
      <vt:lpstr>I</vt:lpstr>
      <vt:lpstr>L</vt:lpstr>
      <vt:lpstr>landa</vt:lpstr>
      <vt:lpstr>mu</vt:lpstr>
      <vt:lpstr>Omega</vt:lpstr>
      <vt:lpstr>P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arango</dc:creator>
  <cp:lastModifiedBy>admin</cp:lastModifiedBy>
  <dcterms:created xsi:type="dcterms:W3CDTF">2025-07-02T12:12:55Z</dcterms:created>
  <dcterms:modified xsi:type="dcterms:W3CDTF">2026-08-14T21:40:07Z</dcterms:modified>
</cp:coreProperties>
</file>